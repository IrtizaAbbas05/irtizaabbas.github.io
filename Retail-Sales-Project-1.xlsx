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D:\Excel Practice\"/>
    </mc:Choice>
  </mc:AlternateContent>
  <xr:revisionPtr revIDLastSave="0" documentId="13_ncr:1_{D81D67F7-7DAA-4418-AC4E-B796FF6245A7}" xr6:coauthVersionLast="47" xr6:coauthVersionMax="47" xr10:uidLastSave="{00000000-0000-0000-0000-000000000000}"/>
  <bookViews>
    <workbookView xWindow="-110" yWindow="-110" windowWidth="19420" windowHeight="10420" activeTab="1" xr2:uid="{7A13619E-C5F3-497C-A40C-91AD913C7146}"/>
  </bookViews>
  <sheets>
    <sheet name="KPIs" sheetId="3" r:id="rId1"/>
    <sheet name="Data" sheetId="1" r:id="rId2"/>
    <sheet name="DashBoard" sheetId="5" r:id="rId3"/>
  </sheets>
  <definedNames>
    <definedName name="Slicer_Cit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3" i="1" l="1"/>
  <c r="G4" i="1"/>
  <c r="G3" i="1"/>
  <c r="G2" i="1"/>
  <c r="G5" i="1"/>
  <c r="G6" i="1"/>
  <c r="G7" i="1"/>
  <c r="G8" i="1"/>
  <c r="G9" i="1"/>
  <c r="G10" i="1"/>
  <c r="G11" i="1"/>
  <c r="H8" i="5"/>
  <c r="E8" i="5"/>
  <c r="B8" i="5"/>
  <c r="A13" i="1"/>
  <c r="D13" i="1"/>
  <c r="F13" i="1"/>
</calcChain>
</file>

<file path=xl/sharedStrings.xml><?xml version="1.0" encoding="utf-8"?>
<sst xmlns="http://schemas.openxmlformats.org/spreadsheetml/2006/main" count="65" uniqueCount="29">
  <si>
    <t>Date</t>
  </si>
  <si>
    <t>Product</t>
  </si>
  <si>
    <t>Category</t>
  </si>
  <si>
    <t>Quantity</t>
  </si>
  <si>
    <t>Price</t>
  </si>
  <si>
    <t>Revenue</t>
  </si>
  <si>
    <t>Laptop</t>
  </si>
  <si>
    <t>Mobile</t>
  </si>
  <si>
    <t>Shoes</t>
  </si>
  <si>
    <t>Shirt</t>
  </si>
  <si>
    <t>Electronics</t>
  </si>
  <si>
    <t>Fashion</t>
  </si>
  <si>
    <t>City</t>
  </si>
  <si>
    <t>Lahore</t>
  </si>
  <si>
    <t>Karachi</t>
  </si>
  <si>
    <t>Faisalabaad</t>
  </si>
  <si>
    <t>Islamabaad</t>
  </si>
  <si>
    <t>Grand Total</t>
  </si>
  <si>
    <t>Sales</t>
  </si>
  <si>
    <t>Region</t>
  </si>
  <si>
    <t>Sales Dashboard Report</t>
  </si>
  <si>
    <t>Total Revenue:</t>
  </si>
  <si>
    <t>Total Orders:</t>
  </si>
  <si>
    <t>Total Quantity:</t>
  </si>
  <si>
    <t>Jan</t>
  </si>
  <si>
    <t>Month</t>
  </si>
  <si>
    <t>Total Sales</t>
  </si>
  <si>
    <t>Total Revenue</t>
  </si>
  <si>
    <t>Average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</si>
</sst>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m\-yyyy"/>
    <numFmt numFmtId="165" formatCode="_(&quot;$&quot;* #,##0_);_(&quot;$&quot;* \(#,##0\);_(&quot;$&quot;* &quot;-&quot;??_);_(@_)"/>
  </numFmts>
  <fonts count="10" x14ac:knownFonts="1">
    <font>
      <sz val="11"/>
      <color theme="1"/>
      <name val="Aptos Narrow"/>
      <family val="2"/>
      <scheme val="minor"/>
    </font>
    <font>
      <b/>
      <sz val="11"/>
      <color theme="1"/>
      <name val="Aptos Narrow"/>
      <family val="2"/>
      <scheme val="minor"/>
    </font>
    <font>
      <sz val="10"/>
      <color theme="1"/>
      <name val="Arial Unicode MS"/>
      <family val="2"/>
    </font>
    <font>
      <sz val="11"/>
      <color theme="1"/>
      <name val="Aptos Narrow"/>
      <family val="2"/>
      <scheme val="minor"/>
    </font>
    <font>
      <b/>
      <sz val="10"/>
      <color theme="1"/>
      <name val="Aptos Display"/>
      <family val="2"/>
      <scheme val="major"/>
    </font>
    <font>
      <b/>
      <sz val="11"/>
      <color theme="1"/>
      <name val="Aptos Display"/>
      <family val="2"/>
      <scheme val="major"/>
    </font>
    <font>
      <sz val="10"/>
      <color theme="1"/>
      <name val="Aptos Display"/>
      <family val="2"/>
      <scheme val="major"/>
    </font>
    <font>
      <sz val="11"/>
      <color theme="1"/>
      <name val="Aptos Display"/>
      <family val="2"/>
      <scheme val="major"/>
    </font>
    <font>
      <sz val="24"/>
      <color theme="1"/>
      <name val="Aptos Narrow"/>
      <family val="2"/>
      <scheme val="minor"/>
    </font>
    <font>
      <b/>
      <u val="double"/>
      <sz val="48"/>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5"/>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8">
    <xf numFmtId="0" fontId="0" fillId="0" borderId="0" xfId="0"/>
    <xf numFmtId="0" fontId="1" fillId="0" borderId="0" xfId="0" applyFont="1"/>
    <xf numFmtId="164" fontId="2" fillId="0" borderId="0" xfId="0" applyNumberFormat="1" applyFont="1" applyAlignment="1">
      <alignment vertical="center"/>
    </xf>
    <xf numFmtId="0" fontId="4" fillId="0" borderId="0" xfId="0" applyFont="1" applyAlignment="1">
      <alignment vertical="center"/>
    </xf>
    <xf numFmtId="0" fontId="5" fillId="0" borderId="0" xfId="0" applyFont="1"/>
    <xf numFmtId="164" fontId="6" fillId="0" borderId="0" xfId="0" applyNumberFormat="1" applyFont="1" applyAlignment="1">
      <alignment vertical="center"/>
    </xf>
    <xf numFmtId="0" fontId="7" fillId="0" borderId="0" xfId="0" applyFont="1"/>
    <xf numFmtId="165" fontId="7" fillId="0" borderId="0" xfId="1" applyNumberFormat="1" applyFont="1"/>
    <xf numFmtId="165" fontId="0" fillId="0" borderId="0" xfId="0" applyNumberFormat="1"/>
    <xf numFmtId="0" fontId="0" fillId="0" borderId="0" xfId="0" pivotButton="1"/>
    <xf numFmtId="0" fontId="0" fillId="0" borderId="0" xfId="0" applyAlignment="1">
      <alignment horizontal="left"/>
    </xf>
    <xf numFmtId="165" fontId="1" fillId="0" borderId="0" xfId="0" applyNumberFormat="1" applyFont="1"/>
    <xf numFmtId="0" fontId="1" fillId="2" borderId="0" xfId="0" applyFont="1" applyFill="1"/>
    <xf numFmtId="165" fontId="1" fillId="2" borderId="0" xfId="0" applyNumberFormat="1" applyFont="1" applyFill="1"/>
    <xf numFmtId="0" fontId="1" fillId="3" borderId="0" xfId="0" applyFont="1" applyFill="1"/>
    <xf numFmtId="0" fontId="1" fillId="4" borderId="0" xfId="0" applyFont="1" applyFill="1"/>
    <xf numFmtId="0" fontId="9" fillId="5" borderId="0" xfId="0" applyFont="1" applyFill="1" applyAlignment="1">
      <alignment horizontal="center" vertical="center"/>
    </xf>
    <xf numFmtId="0" fontId="8" fillId="5" borderId="0" xfId="0" applyFont="1" applyFill="1" applyAlignment="1">
      <alignment horizontal="center" vertical="center"/>
    </xf>
  </cellXfs>
  <cellStyles count="2">
    <cellStyle name="Currency" xfId="1" builtinId="4"/>
    <cellStyle name="Normal" xfId="0" builtinId="0"/>
  </cellStyles>
  <dxfs count="15">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numFmt numFmtId="165" formatCode="_(&quot;$&quot;* #,##0_);_(&quot;$&quot;* \(#,##0\);_(&quot;$&quot;* &quot;-&quot;??_);_(@_)"/>
    </dxf>
    <dxf>
      <font>
        <b val="0"/>
        <i val="0"/>
        <strike val="0"/>
        <condense val="0"/>
        <extend val="0"/>
        <outline val="0"/>
        <shadow val="0"/>
        <u val="none"/>
        <vertAlign val="baseline"/>
        <sz val="11"/>
        <color theme="1"/>
        <name val="Aptos Display"/>
        <family val="2"/>
        <scheme val="major"/>
      </font>
      <numFmt numFmtId="165" formatCode="_(&quot;$&quot;* #,##0_);_(&quot;$&quot;* \(#,##0\);_(&quot;$&quot;* &quot;-&quot;??_);_(@_)"/>
    </dxf>
    <dxf>
      <font>
        <b val="0"/>
        <i val="0"/>
        <strike val="0"/>
        <condense val="0"/>
        <extend val="0"/>
        <outline val="0"/>
        <shadow val="0"/>
        <u val="none"/>
        <vertAlign val="baseline"/>
        <sz val="11"/>
        <color theme="1"/>
        <name val="Aptos Display"/>
        <family val="2"/>
        <scheme val="major"/>
      </font>
      <numFmt numFmtId="165" formatCode="_(&quot;$&quot;* #,##0_);_(&quot;$&quot;* \(#,##0\);_(&quot;$&quot;* &quot;-&quot;??_);_(@_)"/>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0"/>
        <color theme="1"/>
        <name val="Aptos Display"/>
        <family val="2"/>
        <scheme val="major"/>
      </font>
      <numFmt numFmtId="164"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Aptos Display"/>
        <family val="2"/>
        <scheme val="major"/>
      </font>
    </dxf>
    <dxf>
      <font>
        <b/>
        <i val="0"/>
        <strike val="0"/>
        <condense val="0"/>
        <extend val="0"/>
        <outline val="0"/>
        <shadow val="0"/>
        <u val="none"/>
        <vertAlign val="baseline"/>
        <sz val="11"/>
        <color theme="1"/>
        <name val="Aptos Display"/>
        <family val="2"/>
        <scheme val="major"/>
      </font>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ill>
        <patternFill>
          <bgColor theme="3" tint="0.89996032593768116"/>
        </patternFill>
      </fill>
    </dxf>
  </dxfs>
  <tableStyles count="1" defaultTableStyle="TableStyleMedium2" defaultPivotStyle="PivotStyleLight16">
    <tableStyle name="Slicer Style 1" pivot="0" table="0" count="5" xr9:uid="{FDC90477-C9C7-4B28-9911-64C6B5673148}">
      <tableStyleElement type="wholeTable" dxfId="14"/>
    </tableStyle>
  </tableStyles>
  <extLst>
    <ext xmlns:x14="http://schemas.microsoft.com/office/spreadsheetml/2009/9/main" uri="{46F421CA-312F-682f-3DD2-61675219B42D}">
      <x14:dxfs count="4">
        <dxf>
          <fill>
            <patternFill>
              <bgColor theme="7" tint="0.79998168889431442"/>
            </patternFill>
          </fill>
        </dxf>
        <dxf>
          <fill>
            <patternFill>
              <bgColor theme="9" tint="0.79998168889431442"/>
            </patternFill>
          </fill>
        </dxf>
        <dxf>
          <fill>
            <patternFill>
              <bgColor theme="6" tint="0.59996337778862885"/>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 Dashboard_Excel Data Analysis Project – Irtiza Abbas.xlsx]KPIs!PivotTable1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KPIs!$B$3</c:f>
              <c:strCache>
                <c:ptCount val="1"/>
                <c:pt idx="0">
                  <c:v>Total</c:v>
                </c:pt>
              </c:strCache>
            </c:strRef>
          </c:tx>
          <c:spPr>
            <a:solidFill>
              <a:schemeClr val="accent1"/>
            </a:solidFill>
            <a:ln>
              <a:noFill/>
            </a:ln>
            <a:effectLst/>
            <a:sp3d/>
          </c:spPr>
          <c:invertIfNegative val="0"/>
          <c:cat>
            <c:strRef>
              <c:f>KPIs!$A$4:$A$8</c:f>
              <c:strCache>
                <c:ptCount val="4"/>
                <c:pt idx="0">
                  <c:v>Laptop</c:v>
                </c:pt>
                <c:pt idx="1">
                  <c:v>Mobile</c:v>
                </c:pt>
                <c:pt idx="2">
                  <c:v>Shirt</c:v>
                </c:pt>
                <c:pt idx="3">
                  <c:v>Shoes</c:v>
                </c:pt>
              </c:strCache>
            </c:strRef>
          </c:cat>
          <c:val>
            <c:numRef>
              <c:f>KPIs!$B$4:$B$8</c:f>
              <c:numCache>
                <c:formatCode>_("$"* #,##0_);_("$"* \(#,##0\);_("$"* "-"??_);_(@_)</c:formatCode>
                <c:ptCount val="4"/>
                <c:pt idx="0">
                  <c:v>4800</c:v>
                </c:pt>
                <c:pt idx="1">
                  <c:v>3300</c:v>
                </c:pt>
                <c:pt idx="2">
                  <c:v>150</c:v>
                </c:pt>
                <c:pt idx="3">
                  <c:v>450</c:v>
                </c:pt>
              </c:numCache>
            </c:numRef>
          </c:val>
          <c:extLst>
            <c:ext xmlns:c16="http://schemas.microsoft.com/office/drawing/2014/chart" uri="{C3380CC4-5D6E-409C-BE32-E72D297353CC}">
              <c16:uniqueId val="{00000000-B138-4254-BE1F-3C3CAE4F240F}"/>
            </c:ext>
          </c:extLst>
        </c:ser>
        <c:dLbls>
          <c:showLegendKey val="0"/>
          <c:showVal val="0"/>
          <c:showCatName val="0"/>
          <c:showSerName val="0"/>
          <c:showPercent val="0"/>
          <c:showBubbleSize val="0"/>
        </c:dLbls>
        <c:gapWidth val="150"/>
        <c:shape val="box"/>
        <c:axId val="877023568"/>
        <c:axId val="877027888"/>
        <c:axId val="0"/>
      </c:bar3DChart>
      <c:catAx>
        <c:axId val="877023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27888"/>
        <c:crosses val="autoZero"/>
        <c:auto val="1"/>
        <c:lblAlgn val="ctr"/>
        <c:lblOffset val="100"/>
        <c:noMultiLvlLbl val="0"/>
      </c:catAx>
      <c:valAx>
        <c:axId val="87702788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2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 Dashboard_Excel Data Analysis Project – Irtiza Abbas.xlsx]KPIs!PivotTable2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KPIs!$F$5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12-41F3-BD1B-2D2A785D316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12-41F3-BD1B-2D2A785D316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KPIs!$E$6:$E$8</c:f>
              <c:strCache>
                <c:ptCount val="2"/>
                <c:pt idx="0">
                  <c:v>Electronics</c:v>
                </c:pt>
                <c:pt idx="1">
                  <c:v>Fashion</c:v>
                </c:pt>
              </c:strCache>
            </c:strRef>
          </c:cat>
          <c:val>
            <c:numRef>
              <c:f>KPIs!$F$6:$F$8</c:f>
              <c:numCache>
                <c:formatCode>_("$"* #,##0_);_("$"* \(#,##0\);_("$"* "-"??_);_(@_)</c:formatCode>
                <c:ptCount val="2"/>
                <c:pt idx="0">
                  <c:v>8100</c:v>
                </c:pt>
                <c:pt idx="1">
                  <c:v>600</c:v>
                </c:pt>
              </c:numCache>
            </c:numRef>
          </c:val>
          <c:extLst>
            <c:ext xmlns:c16="http://schemas.microsoft.com/office/drawing/2014/chart" uri="{C3380CC4-5D6E-409C-BE32-E72D297353CC}">
              <c16:uniqueId val="{00000000-87F5-4AD7-881E-5DA458FCED96}"/>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 Dashboard_Excel Data Analysis Project – Irtiza Abbas.xlsx]KPIs!PivotTable3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KPIs!$J$3</c:f>
              <c:strCache>
                <c:ptCount val="1"/>
                <c:pt idx="0">
                  <c:v>Total</c:v>
                </c:pt>
              </c:strCache>
            </c:strRef>
          </c:tx>
          <c:spPr>
            <a:solidFill>
              <a:schemeClr val="accent1"/>
            </a:solidFill>
            <a:ln>
              <a:noFill/>
            </a:ln>
            <a:effectLst/>
            <a:sp3d/>
          </c:spPr>
          <c:invertIfNegative val="0"/>
          <c:cat>
            <c:strRef>
              <c:f>KPIs!$I$4:$I$8</c:f>
              <c:strCache>
                <c:ptCount val="4"/>
                <c:pt idx="0">
                  <c:v>Faisalabaad</c:v>
                </c:pt>
                <c:pt idx="1">
                  <c:v>Islamabaad</c:v>
                </c:pt>
                <c:pt idx="2">
                  <c:v>Karachi</c:v>
                </c:pt>
                <c:pt idx="3">
                  <c:v>Lahore</c:v>
                </c:pt>
              </c:strCache>
            </c:strRef>
          </c:cat>
          <c:val>
            <c:numRef>
              <c:f>KPIs!$J$4:$J$8</c:f>
              <c:numCache>
                <c:formatCode>_("$"* #,##0_);_("$"* \(#,##0\);_("$"* "-"??_);_(@_)</c:formatCode>
                <c:ptCount val="4"/>
                <c:pt idx="0">
                  <c:v>450</c:v>
                </c:pt>
                <c:pt idx="1">
                  <c:v>3200</c:v>
                </c:pt>
                <c:pt idx="2">
                  <c:v>3300</c:v>
                </c:pt>
                <c:pt idx="3">
                  <c:v>1750</c:v>
                </c:pt>
              </c:numCache>
            </c:numRef>
          </c:val>
          <c:extLst>
            <c:ext xmlns:c16="http://schemas.microsoft.com/office/drawing/2014/chart" uri="{C3380CC4-5D6E-409C-BE32-E72D297353CC}">
              <c16:uniqueId val="{00000000-9762-4FA8-A159-6FD6C030241B}"/>
            </c:ext>
          </c:extLst>
        </c:ser>
        <c:dLbls>
          <c:showLegendKey val="0"/>
          <c:showVal val="0"/>
          <c:showCatName val="0"/>
          <c:showSerName val="0"/>
          <c:showPercent val="0"/>
          <c:showBubbleSize val="0"/>
        </c:dLbls>
        <c:gapWidth val="150"/>
        <c:shape val="box"/>
        <c:axId val="956078688"/>
        <c:axId val="956079168"/>
        <c:axId val="0"/>
      </c:bar3DChart>
      <c:catAx>
        <c:axId val="956078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79168"/>
        <c:crosses val="autoZero"/>
        <c:auto val="1"/>
        <c:lblAlgn val="ctr"/>
        <c:lblOffset val="100"/>
        <c:noMultiLvlLbl val="0"/>
      </c:catAx>
      <c:valAx>
        <c:axId val="9560791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7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 Dashboard_Excel Data Analysis Project – Irtiza Abbas.xlsx]KPIs!PivotTable4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KPIs!$N$6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KPIs!$M$7:$M$8</c:f>
              <c:strCache>
                <c:ptCount val="1"/>
                <c:pt idx="0">
                  <c:v>Jan</c:v>
                </c:pt>
              </c:strCache>
            </c:strRef>
          </c:cat>
          <c:val>
            <c:numRef>
              <c:f>KPIs!$N$7:$N$8</c:f>
              <c:numCache>
                <c:formatCode>_("$"* #,##0_);_("$"* \(#,##0\);_("$"* "-"??_);_(@_)</c:formatCode>
                <c:ptCount val="1"/>
                <c:pt idx="0">
                  <c:v>8700</c:v>
                </c:pt>
              </c:numCache>
            </c:numRef>
          </c:val>
          <c:smooth val="0"/>
          <c:extLst>
            <c:ext xmlns:c16="http://schemas.microsoft.com/office/drawing/2014/chart" uri="{C3380CC4-5D6E-409C-BE32-E72D297353CC}">
              <c16:uniqueId val="{00000000-C195-440D-8B6F-6988FFB8AF95}"/>
            </c:ext>
          </c:extLst>
        </c:ser>
        <c:dLbls>
          <c:showLegendKey val="0"/>
          <c:showVal val="0"/>
          <c:showCatName val="0"/>
          <c:showSerName val="0"/>
          <c:showPercent val="0"/>
          <c:showBubbleSize val="0"/>
        </c:dLbls>
        <c:marker val="1"/>
        <c:smooth val="0"/>
        <c:axId val="1696915039"/>
        <c:axId val="1696913599"/>
      </c:lineChart>
      <c:catAx>
        <c:axId val="16969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13599"/>
        <c:crosses val="autoZero"/>
        <c:auto val="1"/>
        <c:lblAlgn val="ctr"/>
        <c:lblOffset val="100"/>
        <c:noMultiLvlLbl val="0"/>
      </c:catAx>
      <c:valAx>
        <c:axId val="16969135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150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 Dashboard_Excel Data Analysis Project – Irtiza Abbas.xlsx]KPIs!PivotTable1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KPIs!$A$4:$A$8</c:f>
              <c:strCache>
                <c:ptCount val="4"/>
                <c:pt idx="0">
                  <c:v>Laptop</c:v>
                </c:pt>
                <c:pt idx="1">
                  <c:v>Mobile</c:v>
                </c:pt>
                <c:pt idx="2">
                  <c:v>Shirt</c:v>
                </c:pt>
                <c:pt idx="3">
                  <c:v>Shoes</c:v>
                </c:pt>
              </c:strCache>
            </c:strRef>
          </c:cat>
          <c:val>
            <c:numRef>
              <c:f>KPIs!$B$4:$B$8</c:f>
              <c:numCache>
                <c:formatCode>_("$"* #,##0_);_("$"* \(#,##0\);_("$"* "-"??_);_(@_)</c:formatCode>
                <c:ptCount val="4"/>
                <c:pt idx="0">
                  <c:v>4800</c:v>
                </c:pt>
                <c:pt idx="1">
                  <c:v>3300</c:v>
                </c:pt>
                <c:pt idx="2">
                  <c:v>150</c:v>
                </c:pt>
                <c:pt idx="3">
                  <c:v>450</c:v>
                </c:pt>
              </c:numCache>
            </c:numRef>
          </c:val>
          <c:extLst>
            <c:ext xmlns:c16="http://schemas.microsoft.com/office/drawing/2014/chart" uri="{C3380CC4-5D6E-409C-BE32-E72D297353CC}">
              <c16:uniqueId val="{00000000-B192-4208-AD34-6BB34636F87E}"/>
            </c:ext>
          </c:extLst>
        </c:ser>
        <c:dLbls>
          <c:showLegendKey val="0"/>
          <c:showVal val="0"/>
          <c:showCatName val="0"/>
          <c:showSerName val="0"/>
          <c:showPercent val="0"/>
          <c:showBubbleSize val="0"/>
        </c:dLbls>
        <c:gapWidth val="182"/>
        <c:axId val="956076768"/>
        <c:axId val="956075808"/>
      </c:barChart>
      <c:catAx>
        <c:axId val="95607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75808"/>
        <c:crosses val="autoZero"/>
        <c:auto val="1"/>
        <c:lblAlgn val="ctr"/>
        <c:lblOffset val="100"/>
        <c:noMultiLvlLbl val="0"/>
      </c:catAx>
      <c:valAx>
        <c:axId val="95607580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7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 Dashboard_Excel Data Analysis Project – Irtiza Abbas.xlsx]KPIs!PivotTable3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KPIs!$J$3</c:f>
              <c:strCache>
                <c:ptCount val="1"/>
                <c:pt idx="0">
                  <c:v>Total</c:v>
                </c:pt>
              </c:strCache>
            </c:strRef>
          </c:tx>
          <c:spPr>
            <a:solidFill>
              <a:schemeClr val="accent1"/>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KPIs!$I$4:$I$8</c:f>
              <c:strCache>
                <c:ptCount val="4"/>
                <c:pt idx="0">
                  <c:v>Faisalabaad</c:v>
                </c:pt>
                <c:pt idx="1">
                  <c:v>Islamabaad</c:v>
                </c:pt>
                <c:pt idx="2">
                  <c:v>Karachi</c:v>
                </c:pt>
                <c:pt idx="3">
                  <c:v>Lahore</c:v>
                </c:pt>
              </c:strCache>
            </c:strRef>
          </c:cat>
          <c:val>
            <c:numRef>
              <c:f>KPIs!$J$4:$J$8</c:f>
              <c:numCache>
                <c:formatCode>_("$"* #,##0_);_("$"* \(#,##0\);_("$"* "-"??_);_(@_)</c:formatCode>
                <c:ptCount val="4"/>
                <c:pt idx="0">
                  <c:v>450</c:v>
                </c:pt>
                <c:pt idx="1">
                  <c:v>3200</c:v>
                </c:pt>
                <c:pt idx="2">
                  <c:v>3300</c:v>
                </c:pt>
                <c:pt idx="3">
                  <c:v>1750</c:v>
                </c:pt>
              </c:numCache>
            </c:numRef>
          </c:val>
          <c:extLst>
            <c:ext xmlns:c16="http://schemas.microsoft.com/office/drawing/2014/chart" uri="{C3380CC4-5D6E-409C-BE32-E72D297353CC}">
              <c16:uniqueId val="{00000000-A69F-47EE-AF96-CD327686CC5F}"/>
            </c:ext>
          </c:extLst>
        </c:ser>
        <c:dLbls>
          <c:showLegendKey val="0"/>
          <c:showVal val="0"/>
          <c:showCatName val="0"/>
          <c:showSerName val="0"/>
          <c:showPercent val="0"/>
          <c:showBubbleSize val="0"/>
        </c:dLbls>
        <c:gapWidth val="219"/>
        <c:overlap val="-27"/>
        <c:axId val="981482768"/>
        <c:axId val="981481328"/>
      </c:barChart>
      <c:catAx>
        <c:axId val="98148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81328"/>
        <c:crosses val="autoZero"/>
        <c:auto val="1"/>
        <c:lblAlgn val="ctr"/>
        <c:lblOffset val="100"/>
        <c:noMultiLvlLbl val="0"/>
      </c:catAx>
      <c:valAx>
        <c:axId val="9814813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8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 Dashboard_Excel Data Analysis Project – Irtiza Abbas.xlsx]KPIs!PivotTable2</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KPIs!$F$5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72-4904-97C6-15DC02B383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72-4904-97C6-15DC02B3836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KPIs!$E$6:$E$8</c:f>
              <c:strCache>
                <c:ptCount val="2"/>
                <c:pt idx="0">
                  <c:v>Electronics</c:v>
                </c:pt>
                <c:pt idx="1">
                  <c:v>Fashion</c:v>
                </c:pt>
              </c:strCache>
            </c:strRef>
          </c:cat>
          <c:val>
            <c:numRef>
              <c:f>KPIs!$F$6:$F$8</c:f>
              <c:numCache>
                <c:formatCode>_("$"* #,##0_);_("$"* \(#,##0\);_("$"* "-"??_);_(@_)</c:formatCode>
                <c:ptCount val="2"/>
                <c:pt idx="0">
                  <c:v>8100</c:v>
                </c:pt>
                <c:pt idx="1">
                  <c:v>600</c:v>
                </c:pt>
              </c:numCache>
            </c:numRef>
          </c:val>
          <c:extLst>
            <c:ext xmlns:c16="http://schemas.microsoft.com/office/drawing/2014/chart" uri="{C3380CC4-5D6E-409C-BE32-E72D297353CC}">
              <c16:uniqueId val="{00000004-5372-4904-97C6-15DC02B3836C}"/>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9525</xdr:rowOff>
    </xdr:from>
    <xdr:to>
      <xdr:col>2</xdr:col>
      <xdr:colOff>234950</xdr:colOff>
      <xdr:row>18</xdr:row>
      <xdr:rowOff>19050</xdr:rowOff>
    </xdr:to>
    <xdr:graphicFrame macro="">
      <xdr:nvGraphicFramePr>
        <xdr:cNvPr id="3" name="Chart 2">
          <a:extLst>
            <a:ext uri="{FF2B5EF4-FFF2-40B4-BE49-F238E27FC236}">
              <a16:creationId xmlns:a16="http://schemas.microsoft.com/office/drawing/2014/main" id="{E1D98AB9-C053-6B1A-5D93-B8F44E3D3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8</xdr:row>
      <xdr:rowOff>12700</xdr:rowOff>
    </xdr:from>
    <xdr:to>
      <xdr:col>6</xdr:col>
      <xdr:colOff>19050</xdr:colOff>
      <xdr:row>18</xdr:row>
      <xdr:rowOff>28574</xdr:rowOff>
    </xdr:to>
    <xdr:graphicFrame macro="">
      <xdr:nvGraphicFramePr>
        <xdr:cNvPr id="4" name="Chart 3">
          <a:extLst>
            <a:ext uri="{FF2B5EF4-FFF2-40B4-BE49-F238E27FC236}">
              <a16:creationId xmlns:a16="http://schemas.microsoft.com/office/drawing/2014/main" id="{A108944A-F264-CBB4-5C69-0CC9A1616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6350</xdr:colOff>
      <xdr:row>8</xdr:row>
      <xdr:rowOff>6350</xdr:rowOff>
    </xdr:from>
    <xdr:to>
      <xdr:col>11</xdr:col>
      <xdr:colOff>50800</xdr:colOff>
      <xdr:row>18</xdr:row>
      <xdr:rowOff>161924</xdr:rowOff>
    </xdr:to>
    <xdr:graphicFrame macro="">
      <xdr:nvGraphicFramePr>
        <xdr:cNvPr id="5" name="Chart 4">
          <a:extLst>
            <a:ext uri="{FF2B5EF4-FFF2-40B4-BE49-F238E27FC236}">
              <a16:creationId xmlns:a16="http://schemas.microsoft.com/office/drawing/2014/main" id="{23789F58-4853-316A-681D-34A5BEF4D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88900</xdr:colOff>
      <xdr:row>8</xdr:row>
      <xdr:rowOff>6350</xdr:rowOff>
    </xdr:from>
    <xdr:to>
      <xdr:col>14</xdr:col>
      <xdr:colOff>431800</xdr:colOff>
      <xdr:row>18</xdr:row>
      <xdr:rowOff>19050</xdr:rowOff>
    </xdr:to>
    <xdr:graphicFrame macro="">
      <xdr:nvGraphicFramePr>
        <xdr:cNvPr id="2" name="Chart 1">
          <a:extLst>
            <a:ext uri="{FF2B5EF4-FFF2-40B4-BE49-F238E27FC236}">
              <a16:creationId xmlns:a16="http://schemas.microsoft.com/office/drawing/2014/main" id="{8886F5D5-F253-A06E-B2A5-C0B2739B6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19538</xdr:colOff>
      <xdr:row>8</xdr:row>
      <xdr:rowOff>43962</xdr:rowOff>
    </xdr:from>
    <xdr:to>
      <xdr:col>4</xdr:col>
      <xdr:colOff>87923</xdr:colOff>
      <xdr:row>18</xdr:row>
      <xdr:rowOff>58615</xdr:rowOff>
    </xdr:to>
    <xdr:graphicFrame macro="">
      <xdr:nvGraphicFramePr>
        <xdr:cNvPr id="5" name="Chart 4">
          <a:extLst>
            <a:ext uri="{FF2B5EF4-FFF2-40B4-BE49-F238E27FC236}">
              <a16:creationId xmlns:a16="http://schemas.microsoft.com/office/drawing/2014/main" id="{A7138674-E99F-4F95-B226-5F87BB9EB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101222</xdr:colOff>
      <xdr:row>8</xdr:row>
      <xdr:rowOff>45458</xdr:rowOff>
    </xdr:from>
    <xdr:to>
      <xdr:col>8</xdr:col>
      <xdr:colOff>429578</xdr:colOff>
      <xdr:row>18</xdr:row>
      <xdr:rowOff>55225</xdr:rowOff>
    </xdr:to>
    <xdr:graphicFrame macro="">
      <xdr:nvGraphicFramePr>
        <xdr:cNvPr id="6" name="Chart 5">
          <a:extLst>
            <a:ext uri="{FF2B5EF4-FFF2-40B4-BE49-F238E27FC236}">
              <a16:creationId xmlns:a16="http://schemas.microsoft.com/office/drawing/2014/main" id="{72DA9A61-2FF7-4B41-9210-C4F985E27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449192</xdr:colOff>
      <xdr:row>8</xdr:row>
      <xdr:rowOff>49273</xdr:rowOff>
    </xdr:from>
    <xdr:to>
      <xdr:col>12</xdr:col>
      <xdr:colOff>363362</xdr:colOff>
      <xdr:row>18</xdr:row>
      <xdr:rowOff>74082</xdr:rowOff>
    </xdr:to>
    <xdr:graphicFrame macro="">
      <xdr:nvGraphicFramePr>
        <xdr:cNvPr id="7" name="Chart 6">
          <a:extLst>
            <a:ext uri="{FF2B5EF4-FFF2-40B4-BE49-F238E27FC236}">
              <a16:creationId xmlns:a16="http://schemas.microsoft.com/office/drawing/2014/main" id="{EB263A74-8AD1-494E-B2C2-60273A252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19538</xdr:colOff>
      <xdr:row>6</xdr:row>
      <xdr:rowOff>9770</xdr:rowOff>
    </xdr:from>
    <xdr:to>
      <xdr:col>3</xdr:col>
      <xdr:colOff>796192</xdr:colOff>
      <xdr:row>6</xdr:row>
      <xdr:rowOff>991577</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A60F4DF9-B8EA-44F7-9445-2B7FFC51D68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538" y="1125556"/>
              <a:ext cx="2912975" cy="981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7326</xdr:colOff>
      <xdr:row>6</xdr:row>
      <xdr:rowOff>7733</xdr:rowOff>
    </xdr:from>
    <xdr:to>
      <xdr:col>9</xdr:col>
      <xdr:colOff>48846</xdr:colOff>
      <xdr:row>6</xdr:row>
      <xdr:rowOff>1000125</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F0EA49A6-B9F0-4591-8047-6A96A1F4CC8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949493" y="1097816"/>
              <a:ext cx="3391145" cy="992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26458</xdr:colOff>
      <xdr:row>6</xdr:row>
      <xdr:rowOff>68792</xdr:rowOff>
    </xdr:from>
    <xdr:to>
      <xdr:col>12</xdr:col>
      <xdr:colOff>333375</xdr:colOff>
      <xdr:row>7</xdr:row>
      <xdr:rowOff>142875</xdr:rowOff>
    </xdr:to>
    <xdr:sp macro="" textlink="">
      <xdr:nvSpPr>
        <xdr:cNvPr id="3" name="Speech Bubble: Rectangle with Corners Rounded 2">
          <a:extLst>
            <a:ext uri="{FF2B5EF4-FFF2-40B4-BE49-F238E27FC236}">
              <a16:creationId xmlns:a16="http://schemas.microsoft.com/office/drawing/2014/main" id="{113CA12B-62D3-0D04-8FD5-CD2892D39D55}"/>
            </a:ext>
          </a:extLst>
        </xdr:cNvPr>
        <xdr:cNvSpPr/>
      </xdr:nvSpPr>
      <xdr:spPr>
        <a:xfrm>
          <a:off x="6508750" y="1158875"/>
          <a:ext cx="2831042" cy="1079500"/>
        </a:xfrm>
        <a:prstGeom prst="wedgeRoundRectCallou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1.Karachi has highest</a:t>
          </a:r>
          <a:r>
            <a:rPr lang="en-US" sz="1100" baseline="0">
              <a:solidFill>
                <a:schemeClr val="tx1"/>
              </a:solidFill>
            </a:rPr>
            <a:t> sales. </a:t>
          </a:r>
        </a:p>
        <a:p>
          <a:pPr algn="l"/>
          <a:endParaRPr lang="en-US" sz="1100" baseline="0">
            <a:solidFill>
              <a:schemeClr val="tx1"/>
            </a:solidFill>
          </a:endParaRPr>
        </a:p>
        <a:p>
          <a:pPr algn="l"/>
          <a:r>
            <a:rPr lang="en-US" sz="1100" baseline="0">
              <a:solidFill>
                <a:schemeClr val="tx1"/>
              </a:solidFill>
            </a:rPr>
            <a:t>2.Electronics generate highest revenue. </a:t>
          </a:r>
        </a:p>
        <a:p>
          <a:pPr algn="l"/>
          <a:endParaRPr lang="en-US" sz="1100" baseline="0">
            <a:solidFill>
              <a:schemeClr val="tx1"/>
            </a:solidFill>
          </a:endParaRPr>
        </a:p>
        <a:p>
          <a:pPr algn="l"/>
          <a:r>
            <a:rPr lang="en-US" sz="1100" baseline="0">
              <a:solidFill>
                <a:schemeClr val="tx1"/>
              </a:solidFill>
            </a:rPr>
            <a:t>3.Laptop is top-selling product.</a:t>
          </a:r>
          <a:endParaRPr lang="en-US"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AS" refreshedDate="46109.499199305559" createdVersion="8" refreshedVersion="8" minRefreshableVersion="3" recordCount="10" xr:uid="{9A6A780A-02D3-4024-AB01-437B20737418}">
  <cacheSource type="worksheet">
    <worksheetSource name="SalesData"/>
  </cacheSource>
  <cacheFields count="8">
    <cacheField name="Date" numFmtId="164">
      <sharedItems containsSemiMixedTypes="0" containsNonDate="0" containsDate="1" containsString="0" minDate="2025-01-01T00:00:00" maxDate="2025-01-11T00:00:00" count="10">
        <d v="2025-01-01T00:00:00"/>
        <d v="2025-01-02T00:00:00"/>
        <d v="2025-01-03T00:00:00"/>
        <d v="2025-01-04T00:00:00"/>
        <d v="2025-01-05T00:00:00"/>
        <d v="2025-01-06T00:00:00"/>
        <d v="2025-01-07T00:00:00"/>
        <d v="2025-01-08T00:00:00"/>
        <d v="2025-01-09T00:00:00"/>
        <d v="2025-01-10T00:00:00"/>
      </sharedItems>
      <fieldGroup par="7"/>
    </cacheField>
    <cacheField name="Product" numFmtId="0">
      <sharedItems count="4">
        <s v="Laptop"/>
        <s v="Mobile"/>
        <s v="Shoes"/>
        <s v="Shirt"/>
      </sharedItems>
    </cacheField>
    <cacheField name="Category" numFmtId="0">
      <sharedItems count="2">
        <s v="Electronics"/>
        <s v="Fashion"/>
      </sharedItems>
    </cacheField>
    <cacheField name="Quantity" numFmtId="0">
      <sharedItems containsSemiMixedTypes="0" containsString="0" containsNumber="1" containsInteger="1" minValue="1" maxValue="6"/>
    </cacheField>
    <cacheField name="Price" numFmtId="165">
      <sharedItems containsSemiMixedTypes="0" containsString="0" containsNumber="1" containsInteger="1" minValue="25" maxValue="800"/>
    </cacheField>
    <cacheField name="Revenue" numFmtId="165">
      <sharedItems containsSemiMixedTypes="0" containsString="0" containsNumber="1" containsInteger="1" minValue="50" maxValue="2400"/>
    </cacheField>
    <cacheField name="City" numFmtId="0">
      <sharedItems count="4">
        <s v="Lahore"/>
        <s v="Karachi"/>
        <s v="Faisalabaad"/>
        <s v="Islamabaad"/>
      </sharedItems>
    </cacheField>
    <cacheField name="Months (Date)" numFmtId="0" databaseField="0">
      <fieldGroup base="0">
        <rangePr groupBy="months" startDate="2025-01-01T00:00:00" endDate="2025-01-11T00:00:00"/>
        <groupItems count="14">
          <s v="&lt;1/1/2025"/>
          <s v="Jan"/>
          <s v="Feb"/>
          <s v="Mar"/>
          <s v="Apr"/>
          <s v="May"/>
          <s v="Jun"/>
          <s v="Jul"/>
          <s v="Aug"/>
          <s v="Sep"/>
          <s v="Oct"/>
          <s v="Nov"/>
          <s v="Dec"/>
          <s v="&gt;1/11/2025"/>
        </groupItems>
      </fieldGroup>
    </cacheField>
  </cacheFields>
  <extLst>
    <ext xmlns:x14="http://schemas.microsoft.com/office/spreadsheetml/2009/9/main" uri="{725AE2AE-9491-48be-B2B4-4EB974FC3084}">
      <x14:pivotCacheDefinition pivotCacheId="1738433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2"/>
    <n v="800"/>
    <n v="1600"/>
    <x v="0"/>
  </r>
  <r>
    <x v="1"/>
    <x v="1"/>
    <x v="0"/>
    <n v="5"/>
    <n v="300"/>
    <n v="1500"/>
    <x v="1"/>
  </r>
  <r>
    <x v="2"/>
    <x v="2"/>
    <x v="1"/>
    <n v="3"/>
    <n v="50"/>
    <n v="150"/>
    <x v="2"/>
  </r>
  <r>
    <x v="3"/>
    <x v="0"/>
    <x v="0"/>
    <n v="1"/>
    <n v="800"/>
    <n v="800"/>
    <x v="3"/>
  </r>
  <r>
    <x v="4"/>
    <x v="3"/>
    <x v="1"/>
    <n v="4"/>
    <n v="25"/>
    <n v="100"/>
    <x v="0"/>
  </r>
  <r>
    <x v="5"/>
    <x v="1"/>
    <x v="0"/>
    <n v="2"/>
    <n v="300"/>
    <n v="600"/>
    <x v="1"/>
  </r>
  <r>
    <x v="6"/>
    <x v="2"/>
    <x v="1"/>
    <n v="6"/>
    <n v="50"/>
    <n v="300"/>
    <x v="2"/>
  </r>
  <r>
    <x v="7"/>
    <x v="0"/>
    <x v="0"/>
    <n v="3"/>
    <n v="800"/>
    <n v="2400"/>
    <x v="3"/>
  </r>
  <r>
    <x v="8"/>
    <x v="3"/>
    <x v="1"/>
    <n v="2"/>
    <n v="25"/>
    <n v="50"/>
    <x v="0"/>
  </r>
  <r>
    <x v="9"/>
    <x v="1"/>
    <x v="0"/>
    <n v="4"/>
    <n v="300"/>
    <n v="1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C84BBA-827D-4DCB-AA4B-C775C278789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ategory">
  <location ref="E5:F8" firstHeaderRow="1" firstDataRow="1" firstDataCol="1"/>
  <pivotFields count="8">
    <pivotField numFmtId="164" showAll="0">
      <items count="11">
        <item x="0"/>
        <item x="1"/>
        <item x="2"/>
        <item x="3"/>
        <item x="4"/>
        <item x="5"/>
        <item x="6"/>
        <item x="7"/>
        <item x="8"/>
        <item x="9"/>
        <item t="default"/>
      </items>
    </pivotField>
    <pivotField showAll="0">
      <items count="5">
        <item x="0"/>
        <item x="1"/>
        <item x="3"/>
        <item x="2"/>
        <item t="default"/>
      </items>
    </pivotField>
    <pivotField axis="axisRow" showAll="0">
      <items count="3">
        <item x="0"/>
        <item x="1"/>
        <item t="default"/>
      </items>
    </pivotField>
    <pivotField showAll="0"/>
    <pivotField numFmtId="165" showAll="0"/>
    <pivotField dataField="1" numFmtId="165" showAll="0"/>
    <pivotField showAll="0">
      <items count="5">
        <item x="2"/>
        <item x="3"/>
        <item x="1"/>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ales" fld="5" baseField="2" baseItem="0" numFmtId="165"/>
  </dataFields>
  <formats count="1">
    <format dxfId="1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081D57-0674-4154-8029-FDA63DA700E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Product">
  <location ref="A3:B8" firstHeaderRow="1" firstDataRow="1" firstDataCol="1"/>
  <pivotFields count="8">
    <pivotField numFmtId="164" showAll="0">
      <items count="11">
        <item x="0"/>
        <item x="1"/>
        <item x="2"/>
        <item x="3"/>
        <item x="4"/>
        <item x="5"/>
        <item x="6"/>
        <item x="7"/>
        <item x="8"/>
        <item x="9"/>
        <item t="default"/>
      </items>
    </pivotField>
    <pivotField axis="axisRow" showAll="0">
      <items count="5">
        <item x="0"/>
        <item x="1"/>
        <item x="3"/>
        <item x="2"/>
        <item t="default"/>
      </items>
    </pivotField>
    <pivotField showAll="0"/>
    <pivotField showAll="0"/>
    <pivotField numFmtId="165" showAll="0"/>
    <pivotField dataField="1" numFmtId="165" showAll="0"/>
    <pivotField showAll="0">
      <items count="5">
        <item x="2"/>
        <item x="3"/>
        <item x="1"/>
        <item x="0"/>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Total Revenue" fld="5" baseField="1" baseItem="0" numFmtId="165"/>
  </dataFields>
  <formats count="1">
    <format dxfId="1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1118BE-3764-4EC1-A55F-7C11648973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I3:J8" firstHeaderRow="1" firstDataRow="1" firstDataCol="1"/>
  <pivotFields count="8">
    <pivotField numFmtId="164" showAll="0">
      <items count="11">
        <item x="0"/>
        <item x="1"/>
        <item x="2"/>
        <item x="3"/>
        <item x="4"/>
        <item x="5"/>
        <item x="6"/>
        <item x="7"/>
        <item x="8"/>
        <item x="9"/>
        <item t="default"/>
      </items>
    </pivotField>
    <pivotField showAll="0">
      <items count="5">
        <item x="0"/>
        <item x="1"/>
        <item x="3"/>
        <item x="2"/>
        <item t="default"/>
      </items>
    </pivotField>
    <pivotField showAll="0"/>
    <pivotField showAll="0"/>
    <pivotField numFmtId="165" showAll="0"/>
    <pivotField dataField="1" numFmtId="165" showAll="0"/>
    <pivotField axis="axisRow" showAll="0">
      <items count="5">
        <item x="2"/>
        <item x="3"/>
        <item x="1"/>
        <item x="0"/>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ales" fld="5" baseField="6" baseItem="0" numFmtId="165"/>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DAF87B-70FB-4DD9-B59A-E1C1044AD7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
  <location ref="M6:N8" firstHeaderRow="1" firstDataRow="1" firstDataCol="1"/>
  <pivotFields count="8">
    <pivotField numFmtId="164" showAll="0">
      <items count="11">
        <item x="0"/>
        <item x="1"/>
        <item x="2"/>
        <item x="3"/>
        <item x="4"/>
        <item x="5"/>
        <item x="6"/>
        <item x="7"/>
        <item x="8"/>
        <item x="9"/>
        <item t="default"/>
      </items>
    </pivotField>
    <pivotField showAll="0">
      <items count="5">
        <item x="0"/>
        <item x="1"/>
        <item x="3"/>
        <item x="2"/>
        <item t="default"/>
      </items>
    </pivotField>
    <pivotField showAll="0"/>
    <pivotField showAll="0"/>
    <pivotField numFmtId="165" showAll="0"/>
    <pivotField dataField="1" numFmtId="165" showAll="0"/>
    <pivotField showAll="0">
      <items count="5">
        <item x="2"/>
        <item x="3"/>
        <item x="1"/>
        <item x="0"/>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2">
    <i>
      <x v="1"/>
    </i>
    <i t="grand">
      <x/>
    </i>
  </rowItems>
  <colItems count="1">
    <i/>
  </colItems>
  <dataFields count="1">
    <dataField name="Total Sales" fld="5" baseField="7" baseItem="1" numFmtId="165"/>
  </dataFields>
  <formats count="1">
    <format dxfId="1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9A6AB41-120A-439D-A87E-05C385F2451C}" sourceName="Product">
  <pivotTables>
    <pivotTable tabId="3" name="PivotTable1"/>
    <pivotTable tabId="3" name="PivotTable2"/>
    <pivotTable tabId="3" name="PivotTable3"/>
    <pivotTable tabId="3" name="PivotTable4"/>
  </pivotTables>
  <data>
    <tabular pivotCacheId="1738433654">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64A14E5-7F9E-460B-81B6-8A667A4A0B4E}" sourceName="City">
  <pivotTables>
    <pivotTable tabId="3" name="PivotTable3"/>
    <pivotTable tabId="3" name="PivotTable1"/>
    <pivotTable tabId="3" name="PivotTable2"/>
    <pivotTable tabId="3" name="PivotTable4"/>
  </pivotTables>
  <data>
    <tabular pivotCacheId="173843365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74DA8F0-32E0-4535-8227-20DC56C07332}" cache="Slicer_Product" caption="Product" columnCount="2" style="SlicerStyleOther2" rowHeight="251883"/>
  <slicer name="City 1" xr10:uid="{28126041-011D-4A30-8AD1-E629EF1828CB}" cache="Slicer_City" caption="City" columnCount="2"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3D54CB-C65A-45FE-8861-BF2A1A0C5C60}" name="SalesData" displayName="SalesData" ref="A1:H11" totalsRowShown="0" headerRowDxfId="9" dataDxfId="8">
  <autoFilter ref="A1:H11" xr:uid="{653D54CB-C65A-45FE-8861-BF2A1A0C5C60}"/>
  <tableColumns count="8">
    <tableColumn id="1" xr3:uid="{ACA15C8C-3943-4FF8-B4A3-A5263F92CA3D}" name="Date" dataDxfId="7"/>
    <tableColumn id="2" xr3:uid="{C9A96030-8100-4F3E-A6D4-9EEE310C39BF}" name="Product" dataDxfId="6"/>
    <tableColumn id="3" xr3:uid="{1E690C66-DBBF-4B2F-9E62-8EB4FF6D87B2}" name="Category" dataDxfId="5"/>
    <tableColumn id="4" xr3:uid="{6D2EFD93-13B7-40E2-A54F-753A40B78244}" name="Quantity" dataDxfId="4"/>
    <tableColumn id="5" xr3:uid="{C3A81A94-57C4-4E96-B48D-8A9E03F92269}" name="Price" dataDxfId="3" dataCellStyle="Currency"/>
    <tableColumn id="6" xr3:uid="{C7F742DB-21AC-42B7-820F-9856589405BD}" name="Revenue" dataDxfId="2" dataCellStyle="Currency"/>
    <tableColumn id="8" xr3:uid="{D03AF7AF-AFD0-4EE8-A0FE-C1C39AA82911}" name="Average Revenue" dataDxfId="1" dataCellStyle="Currency">
      <calculatedColumnFormula>SalesData[[#This Row],[Revenue]]/10</calculatedColumnFormula>
    </tableColumn>
    <tableColumn id="7" xr3:uid="{6C982E61-3410-4225-A6F3-76D1F4AD798C}" name="C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DAC2-CFDE-4F7A-82D5-0C9B08C57EAE}">
  <sheetPr codeName="Sheet1"/>
  <dimension ref="A3:N8"/>
  <sheetViews>
    <sheetView showGridLines="0" showRowColHeaders="0" topLeftCell="A2" zoomScale="130" zoomScaleNormal="130" workbookViewId="0">
      <selection activeCell="L6" sqref="L6"/>
    </sheetView>
  </sheetViews>
  <sheetFormatPr defaultRowHeight="14.5" x14ac:dyDescent="0.35"/>
  <cols>
    <col min="1" max="1" width="10.36328125" bestFit="1" customWidth="1"/>
    <col min="2" max="2" width="17.1796875" bestFit="1" customWidth="1"/>
    <col min="3" max="3" width="1.6328125" customWidth="1"/>
    <col min="4" max="4" width="2" customWidth="1"/>
    <col min="5" max="5" width="15.54296875" customWidth="1"/>
    <col min="6" max="6" width="13.453125" customWidth="1"/>
    <col min="7" max="7" width="2.08984375" customWidth="1"/>
    <col min="8" max="8" width="2.81640625" customWidth="1"/>
    <col min="9" max="9" width="10.6328125" bestFit="1" customWidth="1"/>
    <col min="10" max="10" width="7.81640625" bestFit="1" customWidth="1"/>
    <col min="13" max="13" width="10.36328125" bestFit="1" customWidth="1"/>
    <col min="14" max="14" width="9.81640625" bestFit="1" customWidth="1"/>
  </cols>
  <sheetData>
    <row r="3" spans="1:14" x14ac:dyDescent="0.35">
      <c r="A3" s="9" t="s">
        <v>1</v>
      </c>
      <c r="B3" t="s">
        <v>27</v>
      </c>
      <c r="I3" s="9" t="s">
        <v>19</v>
      </c>
      <c r="J3" t="s">
        <v>18</v>
      </c>
    </row>
    <row r="4" spans="1:14" x14ac:dyDescent="0.35">
      <c r="A4" s="10" t="s">
        <v>6</v>
      </c>
      <c r="B4" s="8">
        <v>4800</v>
      </c>
      <c r="I4" s="10" t="s">
        <v>15</v>
      </c>
      <c r="J4" s="8">
        <v>450</v>
      </c>
    </row>
    <row r="5" spans="1:14" x14ac:dyDescent="0.35">
      <c r="A5" s="10" t="s">
        <v>7</v>
      </c>
      <c r="B5" s="8">
        <v>3300</v>
      </c>
      <c r="E5" s="9" t="s">
        <v>2</v>
      </c>
      <c r="F5" t="s">
        <v>18</v>
      </c>
      <c r="I5" s="10" t="s">
        <v>16</v>
      </c>
      <c r="J5" s="8">
        <v>3200</v>
      </c>
    </row>
    <row r="6" spans="1:14" x14ac:dyDescent="0.35">
      <c r="A6" s="10" t="s">
        <v>9</v>
      </c>
      <c r="B6" s="8">
        <v>150</v>
      </c>
      <c r="E6" s="10" t="s">
        <v>10</v>
      </c>
      <c r="F6" s="8">
        <v>8100</v>
      </c>
      <c r="I6" s="10" t="s">
        <v>14</v>
      </c>
      <c r="J6" s="8">
        <v>3300</v>
      </c>
      <c r="M6" s="9" t="s">
        <v>25</v>
      </c>
      <c r="N6" t="s">
        <v>26</v>
      </c>
    </row>
    <row r="7" spans="1:14" x14ac:dyDescent="0.35">
      <c r="A7" s="10" t="s">
        <v>8</v>
      </c>
      <c r="B7" s="8">
        <v>450</v>
      </c>
      <c r="E7" s="10" t="s">
        <v>11</v>
      </c>
      <c r="F7" s="8">
        <v>600</v>
      </c>
      <c r="I7" s="10" t="s">
        <v>13</v>
      </c>
      <c r="J7" s="8">
        <v>1750</v>
      </c>
      <c r="M7" s="10" t="s">
        <v>24</v>
      </c>
      <c r="N7" s="8">
        <v>8700</v>
      </c>
    </row>
    <row r="8" spans="1:14" x14ac:dyDescent="0.35">
      <c r="A8" s="10" t="s">
        <v>17</v>
      </c>
      <c r="B8" s="8">
        <v>8700</v>
      </c>
      <c r="E8" s="10" t="s">
        <v>17</v>
      </c>
      <c r="F8" s="8">
        <v>8700</v>
      </c>
      <c r="I8" s="10" t="s">
        <v>17</v>
      </c>
      <c r="J8" s="8">
        <v>8700</v>
      </c>
      <c r="M8" s="10" t="s">
        <v>17</v>
      </c>
      <c r="N8" s="8">
        <v>8700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94363-3D46-44D1-BBA6-F4B5B7DC04B4}">
  <sheetPr codeName="Sheet2"/>
  <dimension ref="A1:H13"/>
  <sheetViews>
    <sheetView tabSelected="1" zoomScale="160" zoomScaleNormal="160" workbookViewId="0">
      <selection activeCell="B14" sqref="B14"/>
    </sheetView>
  </sheetViews>
  <sheetFormatPr defaultRowHeight="14.5" x14ac:dyDescent="0.35"/>
  <cols>
    <col min="1" max="1" width="9.7265625" bestFit="1" customWidth="1"/>
    <col min="2" max="2" width="9.90625" bestFit="1" customWidth="1"/>
    <col min="3" max="3" width="10.7265625" bestFit="1" customWidth="1"/>
    <col min="4" max="4" width="10.36328125" bestFit="1" customWidth="1"/>
    <col min="5" max="5" width="7.453125" bestFit="1" customWidth="1"/>
    <col min="6" max="6" width="10.36328125" bestFit="1" customWidth="1"/>
    <col min="7" max="7" width="17.54296875" bestFit="1" customWidth="1"/>
    <col min="8" max="8" width="10.6328125" bestFit="1" customWidth="1"/>
  </cols>
  <sheetData>
    <row r="1" spans="1:8" s="1" customFormat="1" x14ac:dyDescent="0.35">
      <c r="A1" s="3" t="s">
        <v>0</v>
      </c>
      <c r="B1" s="4" t="s">
        <v>1</v>
      </c>
      <c r="C1" s="4" t="s">
        <v>2</v>
      </c>
      <c r="D1" s="4" t="s">
        <v>3</v>
      </c>
      <c r="E1" s="4" t="s">
        <v>4</v>
      </c>
      <c r="F1" s="4" t="s">
        <v>5</v>
      </c>
      <c r="G1" s="4" t="s">
        <v>28</v>
      </c>
      <c r="H1" s="4" t="s">
        <v>12</v>
      </c>
    </row>
    <row r="2" spans="1:8" x14ac:dyDescent="0.35">
      <c r="A2" s="5">
        <v>45658</v>
      </c>
      <c r="B2" s="6" t="s">
        <v>6</v>
      </c>
      <c r="C2" s="6" t="s">
        <v>10</v>
      </c>
      <c r="D2" s="6">
        <v>2</v>
      </c>
      <c r="E2" s="7">
        <v>800</v>
      </c>
      <c r="F2" s="7">
        <v>1600</v>
      </c>
      <c r="G2" s="7">
        <f>SalesData[[#This Row],[Revenue]]/10</f>
        <v>160</v>
      </c>
      <c r="H2" s="6" t="s">
        <v>13</v>
      </c>
    </row>
    <row r="3" spans="1:8" x14ac:dyDescent="0.35">
      <c r="A3" s="5">
        <v>45659</v>
      </c>
      <c r="B3" s="6" t="s">
        <v>7</v>
      </c>
      <c r="C3" s="6" t="s">
        <v>10</v>
      </c>
      <c r="D3" s="6">
        <v>5</v>
      </c>
      <c r="E3" s="7">
        <v>300</v>
      </c>
      <c r="F3" s="7">
        <v>1500</v>
      </c>
      <c r="G3" s="7">
        <f>SalesData[[#This Row],[Revenue]]/10</f>
        <v>150</v>
      </c>
      <c r="H3" s="6" t="s">
        <v>14</v>
      </c>
    </row>
    <row r="4" spans="1:8" x14ac:dyDescent="0.35">
      <c r="A4" s="5">
        <v>45660</v>
      </c>
      <c r="B4" s="6" t="s">
        <v>8</v>
      </c>
      <c r="C4" s="6" t="s">
        <v>11</v>
      </c>
      <c r="D4" s="6">
        <v>3</v>
      </c>
      <c r="E4" s="7">
        <v>50</v>
      </c>
      <c r="F4" s="7">
        <v>150</v>
      </c>
      <c r="G4" s="7">
        <f>SalesData[[#This Row],[Revenue]]/10</f>
        <v>15</v>
      </c>
      <c r="H4" s="6" t="s">
        <v>15</v>
      </c>
    </row>
    <row r="5" spans="1:8" x14ac:dyDescent="0.35">
      <c r="A5" s="5">
        <v>45661</v>
      </c>
      <c r="B5" s="6" t="s">
        <v>6</v>
      </c>
      <c r="C5" s="6" t="s">
        <v>10</v>
      </c>
      <c r="D5" s="6">
        <v>1</v>
      </c>
      <c r="E5" s="7">
        <v>800</v>
      </c>
      <c r="F5" s="7">
        <v>800</v>
      </c>
      <c r="G5" s="7">
        <f>SalesData[[#This Row],[Revenue]]/10</f>
        <v>80</v>
      </c>
      <c r="H5" s="6" t="s">
        <v>16</v>
      </c>
    </row>
    <row r="6" spans="1:8" x14ac:dyDescent="0.35">
      <c r="A6" s="5">
        <v>45662</v>
      </c>
      <c r="B6" s="6" t="s">
        <v>9</v>
      </c>
      <c r="C6" s="6" t="s">
        <v>11</v>
      </c>
      <c r="D6" s="6">
        <v>4</v>
      </c>
      <c r="E6" s="7">
        <v>25</v>
      </c>
      <c r="F6" s="7">
        <v>100</v>
      </c>
      <c r="G6" s="7">
        <f>SalesData[[#This Row],[Revenue]]/10</f>
        <v>10</v>
      </c>
      <c r="H6" s="6" t="s">
        <v>13</v>
      </c>
    </row>
    <row r="7" spans="1:8" x14ac:dyDescent="0.35">
      <c r="A7" s="5">
        <v>45663</v>
      </c>
      <c r="B7" s="6" t="s">
        <v>7</v>
      </c>
      <c r="C7" s="6" t="s">
        <v>10</v>
      </c>
      <c r="D7" s="6">
        <v>2</v>
      </c>
      <c r="E7" s="7">
        <v>300</v>
      </c>
      <c r="F7" s="7">
        <v>600</v>
      </c>
      <c r="G7" s="7">
        <f>SalesData[[#This Row],[Revenue]]/10</f>
        <v>60</v>
      </c>
      <c r="H7" s="6" t="s">
        <v>14</v>
      </c>
    </row>
    <row r="8" spans="1:8" x14ac:dyDescent="0.35">
      <c r="A8" s="5">
        <v>45664</v>
      </c>
      <c r="B8" s="6" t="s">
        <v>8</v>
      </c>
      <c r="C8" s="6" t="s">
        <v>11</v>
      </c>
      <c r="D8" s="6">
        <v>6</v>
      </c>
      <c r="E8" s="7">
        <v>50</v>
      </c>
      <c r="F8" s="7">
        <v>300</v>
      </c>
      <c r="G8" s="7">
        <f>SalesData[[#This Row],[Revenue]]/10</f>
        <v>30</v>
      </c>
      <c r="H8" s="6" t="s">
        <v>15</v>
      </c>
    </row>
    <row r="9" spans="1:8" x14ac:dyDescent="0.35">
      <c r="A9" s="5">
        <v>45665</v>
      </c>
      <c r="B9" s="6" t="s">
        <v>6</v>
      </c>
      <c r="C9" s="6" t="s">
        <v>10</v>
      </c>
      <c r="D9" s="6">
        <v>3</v>
      </c>
      <c r="E9" s="7">
        <v>800</v>
      </c>
      <c r="F9" s="7">
        <v>2400</v>
      </c>
      <c r="G9" s="7">
        <f>SalesData[[#This Row],[Revenue]]/10</f>
        <v>240</v>
      </c>
      <c r="H9" s="6" t="s">
        <v>16</v>
      </c>
    </row>
    <row r="10" spans="1:8" x14ac:dyDescent="0.35">
      <c r="A10" s="5">
        <v>45666</v>
      </c>
      <c r="B10" s="6" t="s">
        <v>9</v>
      </c>
      <c r="C10" s="6" t="s">
        <v>11</v>
      </c>
      <c r="D10" s="6">
        <v>2</v>
      </c>
      <c r="E10" s="7">
        <v>25</v>
      </c>
      <c r="F10" s="7">
        <v>50</v>
      </c>
      <c r="G10" s="7">
        <f>SalesData[[#This Row],[Revenue]]/10</f>
        <v>5</v>
      </c>
      <c r="H10" s="6" t="s">
        <v>13</v>
      </c>
    </row>
    <row r="11" spans="1:8" x14ac:dyDescent="0.35">
      <c r="A11" s="5">
        <v>45667</v>
      </c>
      <c r="B11" s="6" t="s">
        <v>7</v>
      </c>
      <c r="C11" s="6" t="s">
        <v>10</v>
      </c>
      <c r="D11" s="6">
        <v>4</v>
      </c>
      <c r="E11" s="7">
        <v>300</v>
      </c>
      <c r="F11" s="7">
        <v>1200</v>
      </c>
      <c r="G11" s="7">
        <f>SalesData[[#This Row],[Revenue]]/10</f>
        <v>120</v>
      </c>
      <c r="H11" s="6" t="s">
        <v>14</v>
      </c>
    </row>
    <row r="12" spans="1:8" x14ac:dyDescent="0.35">
      <c r="A12" s="2"/>
    </row>
    <row r="13" spans="1:8" x14ac:dyDescent="0.35">
      <c r="A13" s="1">
        <f>COUNTA(SalesData[Date])</f>
        <v>10</v>
      </c>
      <c r="D13" s="1">
        <f>SUM(SalesData[Quantity])</f>
        <v>32</v>
      </c>
      <c r="F13" s="11">
        <f>SUM(SalesData[Revenue])</f>
        <v>8700</v>
      </c>
      <c r="G13" s="11">
        <f>SUM(SalesData[Average Revenue])</f>
        <v>870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FF472-F521-48DD-B7FF-EE997F23EB33}">
  <sheetPr codeName="Sheet4"/>
  <dimension ref="A1:N9"/>
  <sheetViews>
    <sheetView showGridLines="0" showRowColHeaders="0" zoomScale="120" zoomScaleNormal="120" workbookViewId="0">
      <selection activeCell="O9" sqref="O9"/>
    </sheetView>
  </sheetViews>
  <sheetFormatPr defaultRowHeight="14.5" x14ac:dyDescent="0.35"/>
  <cols>
    <col min="1" max="1" width="13.1796875" bestFit="1" customWidth="1"/>
    <col min="4" max="4" width="11.54296875" bestFit="1" customWidth="1"/>
    <col min="7" max="7" width="13.08984375" bestFit="1" customWidth="1"/>
    <col min="10" max="10" width="2.7265625" customWidth="1"/>
    <col min="11" max="11" width="27.453125" customWidth="1"/>
    <col min="12" max="12" width="8.7265625" customWidth="1"/>
    <col min="13" max="13" width="6.08984375" customWidth="1"/>
    <col min="14" max="14" width="8.7265625" hidden="1" customWidth="1"/>
  </cols>
  <sheetData>
    <row r="1" spans="1:14" x14ac:dyDescent="0.35">
      <c r="A1" s="16" t="s">
        <v>20</v>
      </c>
      <c r="B1" s="17"/>
      <c r="C1" s="17"/>
      <c r="D1" s="17"/>
      <c r="E1" s="17"/>
      <c r="F1" s="17"/>
      <c r="G1" s="17"/>
      <c r="H1" s="17"/>
      <c r="I1" s="17"/>
      <c r="J1" s="17"/>
      <c r="K1" s="17"/>
      <c r="L1" s="17"/>
      <c r="M1" s="17"/>
      <c r="N1" s="17"/>
    </row>
    <row r="2" spans="1:14" x14ac:dyDescent="0.35">
      <c r="A2" s="17"/>
      <c r="B2" s="17"/>
      <c r="C2" s="17"/>
      <c r="D2" s="17"/>
      <c r="E2" s="17"/>
      <c r="F2" s="17"/>
      <c r="G2" s="17"/>
      <c r="H2" s="17"/>
      <c r="I2" s="17"/>
      <c r="J2" s="17"/>
      <c r="K2" s="17"/>
      <c r="L2" s="17"/>
      <c r="M2" s="17"/>
      <c r="N2" s="17"/>
    </row>
    <row r="3" spans="1:14" x14ac:dyDescent="0.35">
      <c r="A3" s="17"/>
      <c r="B3" s="17"/>
      <c r="C3" s="17"/>
      <c r="D3" s="17"/>
      <c r="E3" s="17"/>
      <c r="F3" s="17"/>
      <c r="G3" s="17"/>
      <c r="H3" s="17"/>
      <c r="I3" s="17"/>
      <c r="J3" s="17"/>
      <c r="K3" s="17"/>
      <c r="L3" s="17"/>
      <c r="M3" s="17"/>
      <c r="N3" s="17"/>
    </row>
    <row r="4" spans="1:14" x14ac:dyDescent="0.35">
      <c r="A4" s="17"/>
      <c r="B4" s="17"/>
      <c r="C4" s="17"/>
      <c r="D4" s="17"/>
      <c r="E4" s="17"/>
      <c r="F4" s="17"/>
      <c r="G4" s="17"/>
      <c r="H4" s="17"/>
      <c r="I4" s="17"/>
      <c r="J4" s="17"/>
      <c r="K4" s="17"/>
      <c r="L4" s="17"/>
      <c r="M4" s="17"/>
      <c r="N4" s="17"/>
    </row>
    <row r="5" spans="1:14" ht="13" customHeight="1" x14ac:dyDescent="0.35">
      <c r="A5" s="17"/>
      <c r="B5" s="17"/>
      <c r="C5" s="17"/>
      <c r="D5" s="17"/>
      <c r="E5" s="17"/>
      <c r="F5" s="17"/>
      <c r="G5" s="17"/>
      <c r="H5" s="17"/>
      <c r="I5" s="17"/>
      <c r="J5" s="17"/>
      <c r="K5" s="17"/>
      <c r="L5" s="17"/>
      <c r="M5" s="17"/>
      <c r="N5" s="17"/>
    </row>
    <row r="6" spans="1:14" x14ac:dyDescent="0.35">
      <c r="A6" s="17"/>
      <c r="B6" s="17"/>
      <c r="C6" s="17"/>
      <c r="D6" s="17"/>
      <c r="E6" s="17"/>
      <c r="F6" s="17"/>
      <c r="G6" s="17"/>
      <c r="H6" s="17"/>
      <c r="I6" s="17"/>
      <c r="J6" s="17"/>
      <c r="K6" s="17"/>
      <c r="L6" s="17"/>
      <c r="M6" s="17"/>
      <c r="N6" s="17"/>
    </row>
    <row r="7" spans="1:14" ht="79" customHeight="1" x14ac:dyDescent="0.35"/>
    <row r="8" spans="1:14" ht="19" customHeight="1" x14ac:dyDescent="0.35">
      <c r="A8" s="12" t="s">
        <v>21</v>
      </c>
      <c r="B8" s="13">
        <f>SUM(SalesData[Revenue])</f>
        <v>8700</v>
      </c>
      <c r="D8" s="14" t="s">
        <v>22</v>
      </c>
      <c r="E8" s="14">
        <f>COUNTA(SalesData[Date])</f>
        <v>10</v>
      </c>
      <c r="G8" s="15" t="s">
        <v>23</v>
      </c>
      <c r="H8" s="15">
        <f>SUM(SalesData[Quantity])</f>
        <v>32</v>
      </c>
    </row>
    <row r="9" spans="1:14" ht="15.5" customHeight="1" x14ac:dyDescent="0.35"/>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irtizaabbas05@gmail.com</dc:creator>
  <cp:lastModifiedBy>irtizaabbas05@gmail.com</cp:lastModifiedBy>
  <dcterms:created xsi:type="dcterms:W3CDTF">2026-03-28T18:16:54Z</dcterms:created>
  <dcterms:modified xsi:type="dcterms:W3CDTF">2026-07-01T13:36:00Z</dcterms:modified>
</cp:coreProperties>
</file>