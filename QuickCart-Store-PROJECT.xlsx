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D:\Excel Practice\"/>
    </mc:Choice>
  </mc:AlternateContent>
  <xr:revisionPtr revIDLastSave="0" documentId="13_ncr:1_{47BBEBEE-690B-4E5C-A1E7-E48E6BDD2B76}" xr6:coauthVersionLast="47" xr6:coauthVersionMax="47" xr10:uidLastSave="{00000000-0000-0000-0000-000000000000}"/>
  <bookViews>
    <workbookView xWindow="-110" yWindow="-110" windowWidth="19420" windowHeight="10420" activeTab="3" xr2:uid="{2C8B9F66-75D4-499F-8CBF-6BA20A584CE7}"/>
  </bookViews>
  <sheets>
    <sheet name="RawData" sheetId="1" r:id="rId1"/>
    <sheet name="CleanedData" sheetId="2" r:id="rId2"/>
    <sheet name="Analysis" sheetId="3" r:id="rId3"/>
    <sheet name="DashBoard" sheetId="4" r:id="rId4"/>
    <sheet name="Sheet1" sheetId="5" r:id="rId5"/>
  </sheets>
  <definedNames>
    <definedName name="Slicer_Category">#N/A</definedName>
    <definedName name="Slicer_City">#N/A</definedName>
    <definedName name="Slicer_Salesperson">#N/A</definedName>
  </definedNames>
  <calcPr calcId="191029"/>
  <pivotCaches>
    <pivotCache cacheId="1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2" l="1"/>
  <c r="M4" i="2"/>
  <c r="M5" i="2"/>
  <c r="M6" i="2"/>
  <c r="M7" i="2"/>
  <c r="M8" i="2"/>
  <c r="M9" i="2"/>
  <c r="M10" i="2"/>
  <c r="M11" i="2"/>
  <c r="M12" i="2"/>
  <c r="M13" i="2"/>
  <c r="M14" i="2"/>
  <c r="M15" i="2"/>
  <c r="M2" i="2"/>
</calcChain>
</file>

<file path=xl/sharedStrings.xml><?xml version="1.0" encoding="utf-8"?>
<sst xmlns="http://schemas.openxmlformats.org/spreadsheetml/2006/main" count="230" uniqueCount="76">
  <si>
    <t>Order_ID</t>
  </si>
  <si>
    <t>Date</t>
  </si>
  <si>
    <t>Customer_Name</t>
  </si>
  <si>
    <t>City</t>
  </si>
  <si>
    <t>Product</t>
  </si>
  <si>
    <t>Category</t>
  </si>
  <si>
    <t>Quantity</t>
  </si>
  <si>
    <t>Unit Price</t>
  </si>
  <si>
    <t>Salesperson</t>
  </si>
  <si>
    <t>Ali Khan</t>
  </si>
  <si>
    <t>Lahore</t>
  </si>
  <si>
    <t>Laptop Stand</t>
  </si>
  <si>
    <t>Electronics</t>
  </si>
  <si>
    <t>Ahmed</t>
  </si>
  <si>
    <t>sara noor</t>
  </si>
  <si>
    <t>karachi</t>
  </si>
  <si>
    <t>USB Cable</t>
  </si>
  <si>
    <t>electronics</t>
  </si>
  <si>
    <t>Bilal</t>
  </si>
  <si>
    <t>Hassan Ali</t>
  </si>
  <si>
    <t>Islamabad</t>
  </si>
  <si>
    <t>Office Chair</t>
  </si>
  <si>
    <t>Office</t>
  </si>
  <si>
    <t>Ayesha</t>
  </si>
  <si>
    <t>Keyboard</t>
  </si>
  <si>
    <t>Zain</t>
  </si>
  <si>
    <t>Umar</t>
  </si>
  <si>
    <t>Faisalabad</t>
  </si>
  <si>
    <t>Water Bottle</t>
  </si>
  <si>
    <t>Accessories</t>
  </si>
  <si>
    <t>Hina</t>
  </si>
  <si>
    <t>Karachi</t>
  </si>
  <si>
    <t>Desk Lamp</t>
  </si>
  <si>
    <t>Home</t>
  </si>
  <si>
    <t>Daniyal</t>
  </si>
  <si>
    <t>Fatima</t>
  </si>
  <si>
    <t>Notebook Set</t>
  </si>
  <si>
    <t>Multan</t>
  </si>
  <si>
    <t>Bluetooth Speaker</t>
  </si>
  <si>
    <t>Maryam</t>
  </si>
  <si>
    <t>Coffee Mug</t>
  </si>
  <si>
    <t>Ahmed Raza</t>
  </si>
  <si>
    <t>LED Lamp</t>
  </si>
  <si>
    <t>Usman</t>
  </si>
  <si>
    <t>Mouse Pad</t>
  </si>
  <si>
    <t>BAD DATE</t>
  </si>
  <si>
    <t>Sana</t>
  </si>
  <si>
    <t>Monitor</t>
  </si>
  <si>
    <t>Sara Noor</t>
  </si>
  <si>
    <t>ERROR</t>
  </si>
  <si>
    <t/>
  </si>
  <si>
    <t>Revenue</t>
  </si>
  <si>
    <t>Tax (5%)</t>
  </si>
  <si>
    <t>Net Revenue</t>
  </si>
  <si>
    <t>Month</t>
  </si>
  <si>
    <t>Grand Total</t>
  </si>
  <si>
    <t>Total Revenue</t>
  </si>
  <si>
    <t>Product Category</t>
  </si>
  <si>
    <t>Customer</t>
  </si>
  <si>
    <t>Total Orders</t>
  </si>
  <si>
    <t>Sum of Revenue</t>
  </si>
  <si>
    <t>Top City</t>
  </si>
  <si>
    <t>Total Sales</t>
  </si>
  <si>
    <t>Top Salesperson</t>
  </si>
  <si>
    <t>Advanced Dashboard</t>
  </si>
  <si>
    <t>Insight 1:</t>
  </si>
  <si>
    <t>Lahore generated the highest total revenue among all cities.</t>
  </si>
  <si>
    <t>Insight  2:</t>
  </si>
  <si>
    <t>Electronics category dominated overall business sales.</t>
  </si>
  <si>
    <t>Insight 3:</t>
  </si>
  <si>
    <t>Some records contained invalid blank spaces and duplicate entries indicated poor data management practices.</t>
  </si>
  <si>
    <t>Insight4:</t>
  </si>
  <si>
    <t>Ahmed was the best-performing salesperson overall.</t>
  </si>
  <si>
    <t>Business Insights</t>
  </si>
  <si>
    <t>`</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</si>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</sst>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mm\-yyyy"/>
    <numFmt numFmtId="165" formatCode="_-[$Rs-420]\ * #,##0_-;\-[$Rs-420]\ * #,##0_-;_-[$Rs-420]\ * &quot;-&quot;??_-;_-@_-"/>
  </numFmts>
  <fonts count="7" x14ac:knownFonts="1">
    <font>
      <sz val="11"/>
      <color theme="1"/>
      <name val="Aptos Narrow"/>
      <family val="2"/>
      <scheme val="minor"/>
    </font>
    <font>
      <b/>
      <sz val="11"/>
      <color theme="1"/>
      <name val="Aptos Display"/>
      <family val="2"/>
      <scheme val="major"/>
    </font>
    <font>
      <sz val="11"/>
      <color theme="1"/>
      <name val="Aptos Display"/>
      <family val="2"/>
      <scheme val="major"/>
    </font>
    <font>
      <sz val="12"/>
      <color theme="1"/>
      <name val="Aptos Narrow"/>
      <family val="2"/>
      <scheme val="minor"/>
    </font>
    <font>
      <sz val="36"/>
      <color theme="1"/>
      <name val="Aptos Narrow"/>
      <family val="2"/>
      <scheme val="minor"/>
    </font>
    <font>
      <b/>
      <u/>
      <sz val="48"/>
      <color theme="1"/>
      <name val="Aptos Display"/>
      <family val="2"/>
      <scheme val="major"/>
    </font>
    <font>
      <b/>
      <sz val="11"/>
      <color theme="1"/>
      <name val="Aptos Narrow"/>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0" fillId="0" borderId="0" xfId="0" applyFont="1" applyAlignment="1">
      <alignment vertical="center" wrapText="1"/>
    </xf>
    <xf numFmtId="0" fontId="1" fillId="0" borderId="0" xfId="0" applyFont="1" applyAlignment="1">
      <alignment horizontal="center" vertical="center" wrapText="1"/>
    </xf>
    <xf numFmtId="164" fontId="0" fillId="0" borderId="0" xfId="0" applyNumberFormat="1" applyFont="1" applyAlignment="1">
      <alignment vertical="center" wrapText="1"/>
    </xf>
    <xf numFmtId="0" fontId="2" fillId="0" borderId="0" xfId="0" applyFont="1"/>
    <xf numFmtId="165" fontId="0" fillId="0" borderId="0" xfId="0" applyNumberFormat="1"/>
    <xf numFmtId="0" fontId="0" fillId="0" borderId="1" xfId="0" applyFont="1" applyBorder="1" applyAlignment="1">
      <alignment vertical="center" wrapText="1"/>
    </xf>
    <xf numFmtId="164" fontId="0" fillId="0" borderId="1" xfId="0" applyNumberFormat="1" applyFont="1" applyBorder="1" applyAlignment="1">
      <alignment vertical="center" wrapText="1"/>
    </xf>
    <xf numFmtId="165" fontId="0" fillId="0" borderId="1" xfId="0" applyNumberFormat="1" applyFont="1" applyBorder="1" applyAlignment="1">
      <alignment vertical="center" wrapText="1"/>
    </xf>
    <xf numFmtId="165" fontId="0" fillId="0" borderId="1" xfId="0" applyNumberFormat="1" applyBorder="1"/>
    <xf numFmtId="0" fontId="0" fillId="0" borderId="1" xfId="0" applyBorder="1"/>
    <xf numFmtId="0" fontId="0" fillId="0" borderId="0" xfId="0" pivotButton="1"/>
    <xf numFmtId="0" fontId="0" fillId="0" borderId="0" xfId="0" applyAlignment="1">
      <alignment horizontal="left"/>
    </xf>
    <xf numFmtId="0" fontId="1" fillId="2" borderId="1" xfId="0" applyFont="1" applyFill="1" applyBorder="1" applyAlignment="1">
      <alignment horizontal="center" vertical="center" wrapText="1"/>
    </xf>
    <xf numFmtId="0" fontId="1" fillId="2" borderId="1" xfId="0" applyFont="1" applyFill="1" applyBorder="1"/>
    <xf numFmtId="0" fontId="0" fillId="0" borderId="0" xfId="0" applyNumberFormat="1"/>
    <xf numFmtId="0" fontId="3" fillId="0" borderId="0" xfId="0" pivotButton="1" applyFont="1"/>
    <xf numFmtId="0" fontId="3" fillId="0" borderId="0" xfId="0" applyFont="1"/>
    <xf numFmtId="0" fontId="3" fillId="0" borderId="0" xfId="0" applyFont="1" applyAlignment="1">
      <alignment horizontal="left"/>
    </xf>
    <xf numFmtId="165" fontId="3" fillId="0" borderId="0" xfId="0" applyNumberFormat="1" applyFont="1"/>
    <xf numFmtId="0" fontId="6" fillId="0" borderId="0" xfId="0" applyFont="1"/>
    <xf numFmtId="0" fontId="5" fillId="2" borderId="0" xfId="0" applyFont="1" applyFill="1" applyAlignment="1">
      <alignment horizontal="center" vertical="center"/>
    </xf>
    <xf numFmtId="0" fontId="4" fillId="2" borderId="0" xfId="0" applyFont="1" applyFill="1" applyAlignment="1">
      <alignment horizontal="center" vertical="center"/>
    </xf>
    <xf numFmtId="0" fontId="0" fillId="2" borderId="0" xfId="0" applyFill="1" applyAlignment="1">
      <alignment horizontal="center"/>
    </xf>
    <xf numFmtId="0" fontId="4" fillId="3" borderId="0" xfId="0" applyFont="1" applyFill="1" applyAlignment="1">
      <alignment horizontal="center" vertical="center"/>
    </xf>
  </cellXfs>
  <cellStyles count="1">
    <cellStyle name="Normal" xfId="0" builtinId="0"/>
  </cellStyles>
  <dxfs count="24">
    <dxf>
      <fill>
        <patternFill>
          <bgColor theme="6" tint="0.79998168889431442"/>
        </patternFill>
      </fill>
    </dxf>
    <dxf>
      <fill>
        <patternFill>
          <bgColor rgb="FF92D050"/>
        </patternFill>
      </fill>
    </dxf>
    <dxf>
      <fill>
        <patternFill>
          <bgColor rgb="FF92D050"/>
        </patternFill>
      </fill>
    </dxf>
    <dxf>
      <fill>
        <patternFill>
          <bgColor rgb="FFFFC000"/>
        </patternFill>
      </fill>
    </dxf>
    <dxf>
      <fill>
        <patternFill>
          <bgColor rgb="FFFFFF00"/>
        </patternFill>
      </fill>
    </dxf>
    <dxf>
      <fill>
        <patternFill>
          <bgColor rgb="FFFFFF00"/>
        </patternFill>
      </fill>
    </dxf>
    <dxf>
      <numFmt numFmtId="165" formatCode="_-[$Rs-420]\ * #,##0_-;\-[$Rs-420]\ * #,##0_-;_-[$Rs-420]\ * &quot;-&quot;??_-;_-@_-"/>
    </dxf>
    <dxf>
      <font>
        <sz val="12"/>
      </font>
    </dxf>
    <dxf>
      <font>
        <sz val="12"/>
      </font>
    </dxf>
    <dxf>
      <font>
        <sz val="12"/>
      </font>
    </dxf>
    <dxf>
      <font>
        <sz val="12"/>
      </font>
    </dxf>
    <dxf>
      <font>
        <sz val="12"/>
      </font>
    </dxf>
    <dxf>
      <numFmt numFmtId="165" formatCode="_-[$Rs-420]\ * #,##0_-;\-[$Rs-420]\ * #,##0_-;_-[$Rs-420]\ * &quot;-&quot;??_-;_-@_-"/>
    </dxf>
    <dxf>
      <numFmt numFmtId="165" formatCode="_-[$Rs-420]\ * #,##0_-;\-[$Rs-420]\ * #,##0_-;_-[$Rs-420]\ * &quot;-&quot;??_-;_-@_-"/>
    </dxf>
    <dxf>
      <numFmt numFmtId="165" formatCode="_-[$Rs-420]\ * #,##0_-;\-[$Rs-420]\ * #,##0_-;_-[$Rs-420]\ * &quot;-&quot;??_-;_-@_-"/>
    </dxf>
    <dxf>
      <numFmt numFmtId="165" formatCode="_-[$Rs-420]\ * #,##0_-;\-[$Rs-420]\ * #,##0_-;_-[$Rs-420]\ * &quot;-&quot;??_-;_-@_-"/>
    </dxf>
    <dxf>
      <numFmt numFmtId="165" formatCode="_-[$Rs-420]\ * #,##0_-;\-[$Rs-420]\ * #,##0_-;_-[$Rs-420]\ * &quot;-&quot;??_-;_-@_-"/>
    </dxf>
    <dxf>
      <numFmt numFmtId="165" formatCode="_-[$Rs-420]\ * #,##0_-;\-[$Rs-420]\ * #,##0_-;_-[$Rs-420]\ * &quot;-&quot;??_-;_-@_-"/>
    </dxf>
    <dxf>
      <fill>
        <patternFill>
          <bgColor theme="3" tint="0.749961851863155"/>
        </patternFill>
      </fill>
    </dxf>
    <dxf>
      <fill>
        <patternFill>
          <bgColor theme="8"/>
        </patternFill>
      </fill>
    </dxf>
    <dxf>
      <fill>
        <patternFill>
          <bgColor theme="9" tint="0.59996337778862885"/>
        </patternFill>
      </fill>
    </dxf>
    <dxf>
      <fill>
        <patternFill>
          <bgColor theme="1" tint="0.34998626667073579"/>
        </patternFill>
      </fill>
    </dxf>
    <dxf>
      <fill>
        <patternFill>
          <bgColor theme="5" tint="0.79998168889431442"/>
        </patternFill>
      </fill>
    </dxf>
    <dxf>
      <fill>
        <patternFill>
          <bgColor theme="3" tint="9.9948118533890809E-2"/>
        </patternFill>
      </fill>
    </dxf>
  </dxfs>
  <tableStyles count="3" defaultTableStyle="TableStyleMedium2" defaultPivotStyle="PivotStyleLight16">
    <tableStyle name="Slicer Style 1" pivot="0" table="0" count="6" xr9:uid="{B26AEDDD-E7D7-48E6-B845-AB10265CB464}">
      <tableStyleElement type="wholeTable" dxfId="23"/>
      <tableStyleElement type="headerRow" dxfId="22"/>
    </tableStyle>
    <tableStyle name="Slicer Style 2" pivot="0" table="0" count="6" xr9:uid="{19C5CBEA-8179-4967-9609-71C4A8D3ECA2}">
      <tableStyleElement type="wholeTable" dxfId="21"/>
      <tableStyleElement type="headerRow" dxfId="20"/>
    </tableStyle>
    <tableStyle name="Slicer Style 3" pivot="0" table="0" count="6" xr9:uid="{235ADF3D-5A94-4917-B120-2D60F3F7AD84}">
      <tableStyleElement type="wholeTable" dxfId="19"/>
      <tableStyleElement type="headerRow" dxfId="18"/>
    </tableStyle>
  </tableStyles>
  <extLst>
    <ext xmlns:x14="http://schemas.microsoft.com/office/spreadsheetml/2009/9/main" uri="{46F421CA-312F-682f-3DD2-61675219B42D}">
      <x14:dxfs count="12">
        <dxf>
          <fill>
            <patternFill>
              <bgColor rgb="FFFFFF00"/>
            </patternFill>
          </fill>
        </dxf>
        <dxf>
          <fill>
            <patternFill>
              <bgColor rgb="FF00B050"/>
            </patternFill>
          </fill>
        </dxf>
        <dxf>
          <fill>
            <patternFill>
              <bgColor rgb="FFFFC000"/>
            </patternFill>
          </fill>
        </dxf>
        <dxf>
          <fill>
            <patternFill>
              <bgColor theme="6" tint="0.79998168889431442"/>
            </patternFill>
          </fill>
        </dxf>
        <dxf>
          <fill>
            <patternFill>
              <bgColor theme="8" tint="-0.24994659260841701"/>
            </patternFill>
          </fill>
        </dxf>
        <dxf>
          <fill>
            <patternFill>
              <bgColor rgb="FFFFC000"/>
            </patternFill>
          </fill>
        </dxf>
        <dxf>
          <fill>
            <patternFill>
              <bgColor theme="8" tint="0.59996337778862885"/>
            </patternFill>
          </fill>
        </dxf>
        <dxf>
          <fill>
            <patternFill>
              <bgColor theme="0" tint="-0.24994659260841701"/>
            </patternFill>
          </fill>
        </dxf>
        <dxf>
          <fill>
            <patternFill>
              <bgColor theme="3" tint="0.499984740745262"/>
            </patternFill>
          </fill>
        </dxf>
        <dxf>
          <fill>
            <patternFill>
              <bgColor rgb="FFFFFF00"/>
            </patternFill>
          </fill>
        </dxf>
        <dxf>
          <fill>
            <patternFill>
              <bgColor theme="4" tint="0.59996337778862885"/>
            </patternFill>
          </fill>
        </dxf>
        <dxf>
          <fill>
            <patternFill>
              <bgColor theme="9" tint="0.7999816888943144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1"/>
            <x14:slicerStyleElement type="selectedItemWithData" dxfId="10"/>
            <x14:slicerStyleElement type="hoveredUnselectedItemWithData" dxfId="9"/>
            <x14:slicerStyleElement type="hoveredSelectedItemWithData" dxfId="8"/>
          </x14:slicerStyleElements>
        </x14:slicerStyle>
        <x14:slicerStyle name="Slicer Style 2">
          <x14:slicerStyleElements>
            <x14:slicerStyleElement type="unselectedItemWithData" dxfId="7"/>
            <x14:slicerStyleElement type="selectedItemWithData" dxfId="6"/>
            <x14:slicerStyleElement type="hoveredUnselectedItemWithData" dxfId="5"/>
            <x14:slicerStyleElement type="hoveredSelectedItemWithData" dxfId="4"/>
          </x14:slicerStyleElements>
        </x14:slicerStyle>
        <x14:slicerStyle name="Slicer Style 3">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[QuickCart-Store-PROJECT.xlsx]Analysis!PivotTable1</c:name>
    <c:fmtId val="3"/>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Revenue</a:t>
            </a:r>
            <a:r>
              <a:rPr lang="en-US" sz="1800" b="1" baseline="0"/>
              <a:t> By City</a:t>
            </a:r>
          </a:p>
        </c:rich>
      </c:tx>
      <c:overlay val="0"/>
      <c:spPr>
        <a:solidFill>
          <a:schemeClr val="accent2">
            <a:lumMod val="20000"/>
            <a:lumOff val="80000"/>
          </a:schemeClr>
        </a:solid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50000"/>
            </a:schemeClr>
          </a:solidFill>
          <a:ln>
            <a:no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Analysis!$H$3</c:f>
              <c:strCache>
                <c:ptCount val="1"/>
                <c:pt idx="0">
                  <c:v>Total</c:v>
                </c:pt>
              </c:strCache>
            </c:strRef>
          </c:tx>
          <c:spPr>
            <a:solidFill>
              <a:schemeClr val="accent1"/>
            </a:solidFill>
            <a:ln>
              <a:noFill/>
            </a:ln>
            <a:effectLst/>
          </c:spPr>
          <c:invertIfNegative val="0"/>
          <c:dLbls>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Analysis!$G$4:$G$9</c:f>
              <c:strCache>
                <c:ptCount val="5"/>
                <c:pt idx="0">
                  <c:v>Faisalabad</c:v>
                </c:pt>
                <c:pt idx="1">
                  <c:v>Islamabad</c:v>
                </c:pt>
                <c:pt idx="2">
                  <c:v>Karachi</c:v>
                </c:pt>
                <c:pt idx="3">
                  <c:v>Lahore</c:v>
                </c:pt>
                <c:pt idx="4">
                  <c:v>Multan</c:v>
                </c:pt>
              </c:strCache>
            </c:strRef>
          </c:cat>
          <c:val>
            <c:numRef>
              <c:f>Analysis!$H$4:$H$9</c:f>
              <c:numCache>
                <c:formatCode>_-[$Rs-420]\ * #,##0_-;\-[$Rs-420]\ * #,##0_-;_-[$Rs-420]\ * "-"??_-;_-@_-</c:formatCode>
                <c:ptCount val="5"/>
                <c:pt idx="0">
                  <c:v>120</c:v>
                </c:pt>
                <c:pt idx="1">
                  <c:v>290</c:v>
                </c:pt>
                <c:pt idx="2">
                  <c:v>150</c:v>
                </c:pt>
                <c:pt idx="3">
                  <c:v>575</c:v>
                </c:pt>
                <c:pt idx="4">
                  <c:v>150</c:v>
                </c:pt>
              </c:numCache>
            </c:numRef>
          </c:val>
          <c:extLst>
            <c:ext xmlns:c16="http://schemas.microsoft.com/office/drawing/2014/chart" uri="{C3380CC4-5D6E-409C-BE32-E72D297353CC}">
              <c16:uniqueId val="{00000001-C384-4A13-BF8F-0E71F4F21775}"/>
            </c:ext>
          </c:extLst>
        </c:ser>
        <c:dLbls>
          <c:showLegendKey val="0"/>
          <c:showVal val="0"/>
          <c:showCatName val="0"/>
          <c:showSerName val="0"/>
          <c:showPercent val="0"/>
          <c:showBubbleSize val="0"/>
        </c:dLbls>
        <c:gapWidth val="182"/>
        <c:axId val="631208720"/>
        <c:axId val="631209680"/>
      </c:barChart>
      <c:catAx>
        <c:axId val="631208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209680"/>
        <c:crosses val="autoZero"/>
        <c:auto val="1"/>
        <c:lblAlgn val="ctr"/>
        <c:lblOffset val="100"/>
        <c:noMultiLvlLbl val="0"/>
      </c:catAx>
      <c:valAx>
        <c:axId val="631209680"/>
        <c:scaling>
          <c:orientation val="minMax"/>
        </c:scaling>
        <c:delete val="1"/>
        <c:axPos val="b"/>
        <c:numFmt formatCode="_-[$Rs-420]\ * #,##0_-;\-[$Rs-420]\ * #,##0_-;_-[$Rs-420]\ * &quot;-&quot;??_-;_-@_-" sourceLinked="1"/>
        <c:majorTickMark val="none"/>
        <c:minorTickMark val="none"/>
        <c:tickLblPos val="nextTo"/>
        <c:crossAx val="631208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[QuickCart-Store-PROJECT.xlsx]Analysis!PivotTable3</c:name>
    <c:fmtId val="3"/>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Category</a:t>
            </a:r>
            <a:r>
              <a:rPr lang="en-US" sz="1800" b="1" baseline="0"/>
              <a:t> Share</a:t>
            </a:r>
          </a:p>
        </c:rich>
      </c:tx>
      <c:overlay val="0"/>
      <c:spPr>
        <a:solidFill>
          <a:schemeClr val="tx2">
            <a:lumMod val="10000"/>
            <a:lumOff val="90000"/>
          </a:schemeClr>
        </a:solid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pieChart>
        <c:varyColors val="1"/>
        <c:ser>
          <c:idx val="0"/>
          <c:order val="0"/>
          <c:tx>
            <c:strRef>
              <c:f>Analysis!$E$3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8FA-4084-A8A6-656C0DB6730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8FA-4084-A8A6-656C0DB6730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8FA-4084-A8A6-656C0DB6730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8FA-4084-A8A6-656C0DB67307}"/>
              </c:ext>
            </c:extLst>
          </c:dPt>
          <c:dLbls>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Analysis!$D$4:$D$8</c:f>
              <c:strCache>
                <c:ptCount val="4"/>
                <c:pt idx="0">
                  <c:v>Accessories</c:v>
                </c:pt>
                <c:pt idx="1">
                  <c:v>Electronics</c:v>
                </c:pt>
                <c:pt idx="2">
                  <c:v>Home</c:v>
                </c:pt>
                <c:pt idx="3">
                  <c:v>Office</c:v>
                </c:pt>
              </c:strCache>
            </c:strRef>
          </c:cat>
          <c:val>
            <c:numRef>
              <c:f>Analysis!$E$4:$E$8</c:f>
              <c:numCache>
                <c:formatCode>_-[$Rs-420]\ * #,##0_-;\-[$Rs-420]\ * #,##0_-;_-[$Rs-420]\ * "-"??_-;_-@_-</c:formatCode>
                <c:ptCount val="4"/>
                <c:pt idx="0">
                  <c:v>210</c:v>
                </c:pt>
                <c:pt idx="1">
                  <c:v>695</c:v>
                </c:pt>
                <c:pt idx="2">
                  <c:v>110</c:v>
                </c:pt>
                <c:pt idx="3">
                  <c:v>270</c:v>
                </c:pt>
              </c:numCache>
            </c:numRef>
          </c:val>
          <c:extLst>
            <c:ext xmlns:c16="http://schemas.microsoft.com/office/drawing/2014/chart" uri="{C3380CC4-5D6E-409C-BE32-E72D297353CC}">
              <c16:uniqueId val="{00000009-E2EE-4833-B00F-01040D4F62FA}"/>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a:t>Revenue Trend</a:t>
            </a:r>
          </a:p>
        </c:rich>
      </c:tx>
      <c:overlay val="0"/>
      <c:spPr>
        <a:solidFill>
          <a:srgbClr val="FFC000"/>
        </a:solid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CleanedData!$J$1</c:f>
              <c:strCache>
                <c:ptCount val="1"/>
                <c:pt idx="0">
                  <c:v>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CleanedData!$J$2:$J$15</c:f>
              <c:numCache>
                <c:formatCode>_-[$Rs-420]\ * #,##0_-;\-[$Rs-420]\ * #,##0_-;_-[$Rs-420]\ * "-"??_-;_-@_-</c:formatCode>
                <c:ptCount val="14"/>
                <c:pt idx="0">
                  <c:v>90</c:v>
                </c:pt>
                <c:pt idx="1">
                  <c:v>40</c:v>
                </c:pt>
                <c:pt idx="2">
                  <c:v>180</c:v>
                </c:pt>
                <c:pt idx="3">
                  <c:v>105</c:v>
                </c:pt>
                <c:pt idx="4">
                  <c:v>120</c:v>
                </c:pt>
                <c:pt idx="5">
                  <c:v>110</c:v>
                </c:pt>
                <c:pt idx="7">
                  <c:v>90</c:v>
                </c:pt>
                <c:pt idx="8">
                  <c:v>150</c:v>
                </c:pt>
                <c:pt idx="9">
                  <c:v>70</c:v>
                </c:pt>
                <c:pt idx="11">
                  <c:v>20</c:v>
                </c:pt>
                <c:pt idx="12">
                  <c:v>220</c:v>
                </c:pt>
                <c:pt idx="13">
                  <c:v>90</c:v>
                </c:pt>
              </c:numCache>
            </c:numRef>
          </c:val>
          <c:smooth val="0"/>
          <c:extLst>
            <c:ext xmlns:c16="http://schemas.microsoft.com/office/drawing/2014/chart" uri="{C3380CC4-5D6E-409C-BE32-E72D297353CC}">
              <c16:uniqueId val="{00000000-8B8B-45DE-AA5B-ABD0CA8E5B40}"/>
            </c:ext>
          </c:extLst>
        </c:ser>
        <c:dLbls>
          <c:showLegendKey val="0"/>
          <c:showVal val="0"/>
          <c:showCatName val="0"/>
          <c:showSerName val="0"/>
          <c:showPercent val="0"/>
          <c:showBubbleSize val="0"/>
        </c:dLbls>
        <c:marker val="1"/>
        <c:smooth val="0"/>
        <c:axId val="768304352"/>
        <c:axId val="768312992"/>
      </c:lineChart>
      <c:catAx>
        <c:axId val="768304352"/>
        <c:scaling>
          <c:orientation val="minMax"/>
        </c:scaling>
        <c:delete val="1"/>
        <c:axPos val="b"/>
        <c:majorTickMark val="none"/>
        <c:minorTickMark val="none"/>
        <c:tickLblPos val="nextTo"/>
        <c:crossAx val="768312992"/>
        <c:crosses val="autoZero"/>
        <c:auto val="1"/>
        <c:lblAlgn val="ctr"/>
        <c:lblOffset val="100"/>
        <c:noMultiLvlLbl val="0"/>
      </c:catAx>
      <c:valAx>
        <c:axId val="768312992"/>
        <c:scaling>
          <c:orientation val="minMax"/>
        </c:scaling>
        <c:delete val="0"/>
        <c:axPos val="l"/>
        <c:majorGridlines>
          <c:spPr>
            <a:ln w="9525" cap="flat" cmpd="sng" algn="ctr">
              <a:solidFill>
                <a:schemeClr val="tx1">
                  <a:lumMod val="15000"/>
                  <a:lumOff val="85000"/>
                </a:schemeClr>
              </a:solidFill>
              <a:round/>
            </a:ln>
            <a:effectLst/>
          </c:spPr>
        </c:majorGridlines>
        <c:numFmt formatCode="_-[$Rs-420]\ * #,##0_-;\-[$Rs-420]\ * #,##0_-;_-[$Rs-420]\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304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[QuickCart-Store-PROJECT.xlsx]Analysis!PivotTable2</c:name>
    <c:fmtId val="3"/>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Salesperson</a:t>
            </a:r>
            <a:r>
              <a:rPr lang="en-US" sz="1800" b="1" baseline="0"/>
              <a:t> Performance</a:t>
            </a:r>
            <a:endParaRPr lang="en-US" sz="1800" b="1"/>
          </a:p>
        </c:rich>
      </c:tx>
      <c:overlay val="0"/>
      <c:spPr>
        <a:solidFill>
          <a:srgbClr val="FFFF00"/>
        </a:solid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Analysis!$B$3</c:f>
              <c:strCache>
                <c:ptCount val="1"/>
                <c:pt idx="0">
                  <c:v>Total</c:v>
                </c:pt>
              </c:strCache>
            </c:strRef>
          </c:tx>
          <c:spPr>
            <a:solidFill>
              <a:schemeClr val="accent1"/>
            </a:solidFill>
            <a:ln>
              <a:noFill/>
            </a:ln>
            <a:effectLst/>
          </c:spPr>
          <c:invertIfNegative val="0"/>
          <c:cat>
            <c:strRef>
              <c:f>Analysis!$A$4:$A$7</c:f>
              <c:strCache>
                <c:ptCount val="3"/>
                <c:pt idx="0">
                  <c:v>Ahmed</c:v>
                </c:pt>
                <c:pt idx="1">
                  <c:v>Bilal</c:v>
                </c:pt>
                <c:pt idx="2">
                  <c:v>Zain</c:v>
                </c:pt>
              </c:strCache>
            </c:strRef>
          </c:cat>
          <c:val>
            <c:numRef>
              <c:f>Analysis!$B$4:$B$7</c:f>
              <c:numCache>
                <c:formatCode>_-[$Rs-420]\ * #,##0_-;\-[$Rs-420]\ * #,##0_-;_-[$Rs-420]\ * "-"??_-;_-@_-</c:formatCode>
                <c:ptCount val="3"/>
                <c:pt idx="0">
                  <c:v>560</c:v>
                </c:pt>
                <c:pt idx="1">
                  <c:v>330</c:v>
                </c:pt>
                <c:pt idx="2">
                  <c:v>395</c:v>
                </c:pt>
              </c:numCache>
            </c:numRef>
          </c:val>
          <c:extLst>
            <c:ext xmlns:c16="http://schemas.microsoft.com/office/drawing/2014/chart" uri="{C3380CC4-5D6E-409C-BE32-E72D297353CC}">
              <c16:uniqueId val="{00000000-D99A-46D7-81BB-D01C42B45BD6}"/>
            </c:ext>
          </c:extLst>
        </c:ser>
        <c:dLbls>
          <c:showLegendKey val="0"/>
          <c:showVal val="0"/>
          <c:showCatName val="0"/>
          <c:showSerName val="0"/>
          <c:showPercent val="0"/>
          <c:showBubbleSize val="0"/>
        </c:dLbls>
        <c:gapWidth val="150"/>
        <c:overlap val="100"/>
        <c:axId val="768305792"/>
        <c:axId val="768313472"/>
      </c:barChart>
      <c:catAx>
        <c:axId val="768305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313472"/>
        <c:crosses val="autoZero"/>
        <c:auto val="1"/>
        <c:lblAlgn val="ctr"/>
        <c:lblOffset val="100"/>
        <c:noMultiLvlLbl val="0"/>
      </c:catAx>
      <c:valAx>
        <c:axId val="768313472"/>
        <c:scaling>
          <c:orientation val="minMax"/>
        </c:scaling>
        <c:delete val="0"/>
        <c:axPos val="l"/>
        <c:majorGridlines>
          <c:spPr>
            <a:ln w="9525" cap="flat" cmpd="sng" algn="ctr">
              <a:solidFill>
                <a:schemeClr val="tx1">
                  <a:lumMod val="15000"/>
                  <a:lumOff val="85000"/>
                </a:schemeClr>
              </a:solidFill>
              <a:round/>
            </a:ln>
            <a:effectLst/>
          </c:spPr>
        </c:majorGridlines>
        <c:numFmt formatCode="_-[$Rs-420]\ * #,##0_-;\-[$Rs-420]\ * #,##0_-;_-[$Rs-420]\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3057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12700</xdr:rowOff>
    </xdr:from>
    <xdr:to>
      <xdr:col>6</xdr:col>
      <xdr:colOff>0</xdr:colOff>
      <xdr:row>18</xdr:row>
      <xdr:rowOff>158750</xdr:rowOff>
    </xdr:to>
    <xdr:graphicFrame macro="">
      <xdr:nvGraphicFramePr>
        <xdr:cNvPr id="2" name="Chart 1">
          <a:extLst>
            <a:ext uri="{FF2B5EF4-FFF2-40B4-BE49-F238E27FC236}">
              <a16:creationId xmlns:a16="http://schemas.microsoft.com/office/drawing/2014/main" id="{D974F354-74B0-4812-AA98-3A591EE4DE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438151</xdr:colOff>
      <xdr:row>6</xdr:row>
      <xdr:rowOff>57150</xdr:rowOff>
    </xdr:from>
    <xdr:to>
      <xdr:col>17</xdr:col>
      <xdr:colOff>431801</xdr:colOff>
      <xdr:row>18</xdr:row>
      <xdr:rowOff>57150</xdr:rowOff>
    </xdr:to>
    <xdr:graphicFrame macro="">
      <xdr:nvGraphicFramePr>
        <xdr:cNvPr id="3" name="Chart 2">
          <a:extLst>
            <a:ext uri="{FF2B5EF4-FFF2-40B4-BE49-F238E27FC236}">
              <a16:creationId xmlns:a16="http://schemas.microsoft.com/office/drawing/2014/main" id="{2C4B1A94-0981-4154-A532-5C601DBD8A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6350</xdr:colOff>
      <xdr:row>18</xdr:row>
      <xdr:rowOff>161926</xdr:rowOff>
    </xdr:from>
    <xdr:to>
      <xdr:col>6</xdr:col>
      <xdr:colOff>6350</xdr:colOff>
      <xdr:row>31</xdr:row>
      <xdr:rowOff>114300</xdr:rowOff>
    </xdr:to>
    <xdr:graphicFrame macro="">
      <xdr:nvGraphicFramePr>
        <xdr:cNvPr id="5" name="Chart 4">
          <a:extLst>
            <a:ext uri="{FF2B5EF4-FFF2-40B4-BE49-F238E27FC236}">
              <a16:creationId xmlns:a16="http://schemas.microsoft.com/office/drawing/2014/main" id="{E0FCFC9B-8B41-430D-9E28-17ECDA112F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438150</xdr:colOff>
      <xdr:row>18</xdr:row>
      <xdr:rowOff>76200</xdr:rowOff>
    </xdr:from>
    <xdr:to>
      <xdr:col>17</xdr:col>
      <xdr:colOff>431800</xdr:colOff>
      <xdr:row>31</xdr:row>
      <xdr:rowOff>114300</xdr:rowOff>
    </xdr:to>
    <xdr:graphicFrame macro="">
      <xdr:nvGraphicFramePr>
        <xdr:cNvPr id="6" name="Chart 5">
          <a:extLst>
            <a:ext uri="{FF2B5EF4-FFF2-40B4-BE49-F238E27FC236}">
              <a16:creationId xmlns:a16="http://schemas.microsoft.com/office/drawing/2014/main" id="{7B45F2FE-53A3-465D-A691-6F0B452344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xdr:colOff>
      <xdr:row>2</xdr:row>
      <xdr:rowOff>139700</xdr:rowOff>
    </xdr:from>
    <xdr:to>
      <xdr:col>7</xdr:col>
      <xdr:colOff>273051</xdr:colOff>
      <xdr:row>6</xdr:row>
      <xdr:rowOff>82550</xdr:rowOff>
    </xdr:to>
    <mc:AlternateContent xmlns:mc="http://schemas.openxmlformats.org/markup-compatibility/2006" xmlns:a14="http://schemas.microsoft.com/office/drawing/2010/main">
      <mc:Choice Requires="a14">
        <xdr:graphicFrame macro="">
          <xdr:nvGraphicFramePr>
            <xdr:cNvPr id="7" name="City">
              <a:extLst>
                <a:ext uri="{FF2B5EF4-FFF2-40B4-BE49-F238E27FC236}">
                  <a16:creationId xmlns:a16="http://schemas.microsoft.com/office/drawing/2014/main" id="{77FE9523-94C2-41D2-B68B-F0D08B6FE76E}"/>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 y="933450"/>
              <a:ext cx="4521200" cy="679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285750</xdr:colOff>
      <xdr:row>2</xdr:row>
      <xdr:rowOff>133350</xdr:rowOff>
    </xdr:from>
    <xdr:to>
      <xdr:col>12</xdr:col>
      <xdr:colOff>284006</xdr:colOff>
      <xdr:row>6</xdr:row>
      <xdr:rowOff>88900</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4CD81755-B3EB-4332-9146-665336D27A7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533900" y="927100"/>
              <a:ext cx="3808256" cy="692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146050</xdr:colOff>
      <xdr:row>2</xdr:row>
      <xdr:rowOff>127000</xdr:rowOff>
    </xdr:from>
    <xdr:to>
      <xdr:col>17</xdr:col>
      <xdr:colOff>450850</xdr:colOff>
      <xdr:row>6</xdr:row>
      <xdr:rowOff>65617</xdr:rowOff>
    </xdr:to>
    <mc:AlternateContent xmlns:mc="http://schemas.openxmlformats.org/markup-compatibility/2006" xmlns:a14="http://schemas.microsoft.com/office/drawing/2010/main">
      <mc:Choice Requires="a14">
        <xdr:graphicFrame macro="">
          <xdr:nvGraphicFramePr>
            <xdr:cNvPr id="9" name="Salesperson">
              <a:extLst>
                <a:ext uri="{FF2B5EF4-FFF2-40B4-BE49-F238E27FC236}">
                  <a16:creationId xmlns:a16="http://schemas.microsoft.com/office/drawing/2014/main" id="{24262F14-B3D5-4E61-AC60-5B8A0C2D0AA3}"/>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8377959" y="917864"/>
              <a:ext cx="2752436" cy="6775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BAS" refreshedDate="46165.513039930556" createdVersion="8" refreshedVersion="8" minRefreshableVersion="3" recordCount="14" xr:uid="{AF45EC46-4337-4E38-8C01-9EC445E9D1E8}">
  <cacheSource type="worksheet">
    <worksheetSource ref="A1:M15" sheet="CleanedData"/>
  </cacheSource>
  <cacheFields count="13">
    <cacheField name="Order_ID" numFmtId="0">
      <sharedItems containsSemiMixedTypes="0" containsString="0" containsNumber="1" containsInteger="1" minValue="2001" maxValue="2014"/>
    </cacheField>
    <cacheField name="Date" numFmtId="164">
      <sharedItems containsSemiMixedTypes="0" containsNonDate="0" containsDate="1" containsString="0" minDate="2026-02-01T00:00:00" maxDate="2026-02-15T00:00:00"/>
    </cacheField>
    <cacheField name="Customer_Name" numFmtId="0">
      <sharedItems count="13">
        <s v="Ali Khan"/>
        <s v="Sara Noor"/>
        <s v="Hassan Ali"/>
        <s v="Ayesha"/>
        <s v="Umar"/>
        <s v="Hina"/>
        <s v="Daniyal"/>
        <s v="Fatima"/>
        <s v="Bilal"/>
        <s v="Maryam"/>
        <s v="Ahmed Raza"/>
        <s v="Usman"/>
        <s v="Sana"/>
      </sharedItems>
    </cacheField>
    <cacheField name="City" numFmtId="0">
      <sharedItems count="5">
        <s v="Lahore"/>
        <s v="Karachi"/>
        <s v="Islamabad"/>
        <s v="Faisalabad"/>
        <s v="Multan"/>
      </sharedItems>
    </cacheField>
    <cacheField name="Product" numFmtId="0">
      <sharedItems/>
    </cacheField>
    <cacheField name="Category" numFmtId="0">
      <sharedItems count="4">
        <s v="Electronics"/>
        <s v="Office"/>
        <s v="Accessories"/>
        <s v="Home"/>
      </sharedItems>
    </cacheField>
    <cacheField name="Quantity" numFmtId="0">
      <sharedItems containsMixedTypes="1" containsNumber="1" containsInteger="1" minValue="1" maxValue="10"/>
    </cacheField>
    <cacheField name="Unit Price" numFmtId="165">
      <sharedItems containsSemiMixedTypes="0" containsString="0" containsNumber="1" containsInteger="1" minValue="5" maxValue="220"/>
    </cacheField>
    <cacheField name="Salesperson" numFmtId="0">
      <sharedItems count="3">
        <s v="Ahmed"/>
        <s v="Bilal"/>
        <s v="Zain"/>
      </sharedItems>
    </cacheField>
    <cacheField name="Revenue" numFmtId="165">
      <sharedItems containsString="0" containsBlank="1" containsNumber="1" containsInteger="1" minValue="20" maxValue="220"/>
    </cacheField>
    <cacheField name="Tax (5%)" numFmtId="165">
      <sharedItems containsString="0" containsBlank="1" containsNumber="1" minValue="1" maxValue="11"/>
    </cacheField>
    <cacheField name="Net Revenue" numFmtId="165">
      <sharedItems containsString="0" containsBlank="1" containsNumber="1" minValue="21" maxValue="231"/>
    </cacheField>
    <cacheField name="Month" numFmtId="0">
      <sharedItems/>
    </cacheField>
  </cacheFields>
  <extLst>
    <ext xmlns:x14="http://schemas.microsoft.com/office/spreadsheetml/2009/9/main" uri="{725AE2AE-9491-48be-B2B4-4EB974FC3084}">
      <x14:pivotCacheDefinition pivotCacheId="16645208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n v="2001"/>
    <d v="2026-02-01T00:00:00"/>
    <x v="0"/>
    <x v="0"/>
    <s v="Laptop Stand"/>
    <x v="0"/>
    <n v="2"/>
    <n v="45"/>
    <x v="0"/>
    <n v="90"/>
    <n v="4.5"/>
    <n v="94.5"/>
    <s v="February"/>
  </r>
  <r>
    <n v="2002"/>
    <d v="2026-02-02T00:00:00"/>
    <x v="1"/>
    <x v="1"/>
    <s v="USB Cable"/>
    <x v="0"/>
    <n v="5"/>
    <n v="8"/>
    <x v="1"/>
    <n v="40"/>
    <n v="2"/>
    <n v="42"/>
    <s v="February"/>
  </r>
  <r>
    <n v="2003"/>
    <d v="2026-02-03T00:00:00"/>
    <x v="2"/>
    <x v="2"/>
    <s v="Office Chair"/>
    <x v="1"/>
    <n v="1"/>
    <n v="180"/>
    <x v="0"/>
    <n v="180"/>
    <n v="9"/>
    <n v="189"/>
    <s v="February"/>
  </r>
  <r>
    <n v="2004"/>
    <d v="2026-02-04T00:00:00"/>
    <x v="3"/>
    <x v="0"/>
    <s v="Keyboard"/>
    <x v="0"/>
    <n v="3"/>
    <n v="35"/>
    <x v="2"/>
    <n v="105"/>
    <n v="5.25"/>
    <n v="110.25"/>
    <s v="February"/>
  </r>
  <r>
    <n v="2005"/>
    <d v="2026-02-05T00:00:00"/>
    <x v="4"/>
    <x v="3"/>
    <s v="Water Bottle"/>
    <x v="2"/>
    <n v="10"/>
    <n v="12"/>
    <x v="1"/>
    <n v="120"/>
    <n v="6"/>
    <n v="126"/>
    <s v="February"/>
  </r>
  <r>
    <n v="2006"/>
    <d v="2026-02-06T00:00:00"/>
    <x v="5"/>
    <x v="1"/>
    <s v="Desk Lamp"/>
    <x v="3"/>
    <n v="2"/>
    <n v="55"/>
    <x v="0"/>
    <n v="110"/>
    <n v="5.5"/>
    <n v="115.5"/>
    <s v="February"/>
  </r>
  <r>
    <n v="2007"/>
    <d v="2026-02-07T00:00:00"/>
    <x v="6"/>
    <x v="0"/>
    <s v="USB Cable"/>
    <x v="0"/>
    <s v="ERROR"/>
    <n v="8"/>
    <x v="2"/>
    <m/>
    <m/>
    <m/>
    <s v="February"/>
  </r>
  <r>
    <n v="2008"/>
    <d v="2026-02-08T00:00:00"/>
    <x v="7"/>
    <x v="2"/>
    <s v="Notebook Set"/>
    <x v="1"/>
    <n v="6"/>
    <n v="15"/>
    <x v="0"/>
    <n v="90"/>
    <n v="4.5"/>
    <n v="94.5"/>
    <s v="February"/>
  </r>
  <r>
    <n v="2009"/>
    <d v="2026-02-09T00:00:00"/>
    <x v="8"/>
    <x v="4"/>
    <s v="Bluetooth Speaker"/>
    <x v="0"/>
    <n v="2"/>
    <n v="75"/>
    <x v="1"/>
    <n v="150"/>
    <n v="7.5"/>
    <n v="157.5"/>
    <s v="February"/>
  </r>
  <r>
    <n v="2010"/>
    <d v="2026-02-10T00:00:00"/>
    <x v="9"/>
    <x v="0"/>
    <s v="Coffee Mug"/>
    <x v="2"/>
    <n v="7"/>
    <n v="10"/>
    <x v="2"/>
    <n v="70"/>
    <n v="3.5"/>
    <n v="73.5"/>
    <s v="February"/>
  </r>
  <r>
    <n v="2011"/>
    <d v="2026-02-11T00:00:00"/>
    <x v="10"/>
    <x v="1"/>
    <s v="LED Lamp"/>
    <x v="3"/>
    <s v=""/>
    <n v="40"/>
    <x v="0"/>
    <m/>
    <m/>
    <m/>
    <s v="February"/>
  </r>
  <r>
    <n v="2012"/>
    <d v="2026-02-12T00:00:00"/>
    <x v="11"/>
    <x v="2"/>
    <s v="Mouse Pad"/>
    <x v="2"/>
    <n v="4"/>
    <n v="5"/>
    <x v="1"/>
    <n v="20"/>
    <n v="1"/>
    <n v="21"/>
    <s v="February"/>
  </r>
  <r>
    <n v="2013"/>
    <d v="2026-02-13T00:00:00"/>
    <x v="12"/>
    <x v="0"/>
    <s v="Monitor"/>
    <x v="0"/>
    <n v="1"/>
    <n v="220"/>
    <x v="2"/>
    <n v="220"/>
    <n v="11"/>
    <n v="231"/>
    <s v="February"/>
  </r>
  <r>
    <n v="2014"/>
    <d v="2026-02-14T00:00:00"/>
    <x v="0"/>
    <x v="0"/>
    <s v="Laptop Stand"/>
    <x v="0"/>
    <n v="2"/>
    <n v="45"/>
    <x v="0"/>
    <n v="90"/>
    <n v="4.5"/>
    <n v="94.5"/>
    <s v="Februar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06AB61-1566-43D1-870A-C0F064A96F5C}" name="PivotTable3"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rowHeaderCaption="Product Category">
  <location ref="D3:E8" firstHeaderRow="1" firstDataRow="1" firstDataCol="1"/>
  <pivotFields count="13">
    <pivotField showAll="0"/>
    <pivotField numFmtId="164" showAll="0"/>
    <pivotField showAll="0"/>
    <pivotField showAll="0">
      <items count="6">
        <item x="3"/>
        <item x="2"/>
        <item x="1"/>
        <item x="0"/>
        <item x="4"/>
        <item t="default"/>
      </items>
    </pivotField>
    <pivotField showAll="0"/>
    <pivotField axis="axisRow" showAll="0">
      <items count="5">
        <item x="2"/>
        <item x="0"/>
        <item x="3"/>
        <item x="1"/>
        <item t="default"/>
      </items>
    </pivotField>
    <pivotField showAll="0"/>
    <pivotField numFmtId="165" showAll="0"/>
    <pivotField showAll="0"/>
    <pivotField dataField="1" showAll="0"/>
    <pivotField showAll="0"/>
    <pivotField showAll="0"/>
    <pivotField showAll="0"/>
  </pivotFields>
  <rowFields count="1">
    <field x="5"/>
  </rowFields>
  <rowItems count="5">
    <i>
      <x/>
    </i>
    <i>
      <x v="1"/>
    </i>
    <i>
      <x v="2"/>
    </i>
    <i>
      <x v="3"/>
    </i>
    <i t="grand">
      <x/>
    </i>
  </rowItems>
  <colItems count="1">
    <i/>
  </colItems>
  <dataFields count="1">
    <dataField name="Sum of Revenue" fld="9" baseField="0" baseItem="0"/>
  </dataFields>
  <formats count="1">
    <format dxfId="14">
      <pivotArea outline="0" collapsedLevelsAreSubtotals="1" fieldPosition="0"/>
    </format>
  </formats>
  <chartFormats count="5">
    <chartFormat chart="3" format="11" series="1">
      <pivotArea type="data" outline="0" fieldPosition="0">
        <references count="1">
          <reference field="4294967294" count="1" selected="0">
            <x v="0"/>
          </reference>
        </references>
      </pivotArea>
    </chartFormat>
    <chartFormat chart="3" format="12">
      <pivotArea type="data" outline="0" fieldPosition="0">
        <references count="2">
          <reference field="4294967294" count="1" selected="0">
            <x v="0"/>
          </reference>
          <reference field="5" count="1" selected="0">
            <x v="0"/>
          </reference>
        </references>
      </pivotArea>
    </chartFormat>
    <chartFormat chart="3" format="13">
      <pivotArea type="data" outline="0" fieldPosition="0">
        <references count="2">
          <reference field="4294967294" count="1" selected="0">
            <x v="0"/>
          </reference>
          <reference field="5" count="1" selected="0">
            <x v="1"/>
          </reference>
        </references>
      </pivotArea>
    </chartFormat>
    <chartFormat chart="3" format="14">
      <pivotArea type="data" outline="0" fieldPosition="0">
        <references count="2">
          <reference field="4294967294" count="1" selected="0">
            <x v="0"/>
          </reference>
          <reference field="5" count="1" selected="0">
            <x v="2"/>
          </reference>
        </references>
      </pivotArea>
    </chartFormat>
    <chartFormat chart="3" format="15">
      <pivotArea type="data" outline="0" fieldPosition="0">
        <references count="2">
          <reference field="4294967294" count="1" selected="0">
            <x v="0"/>
          </reference>
          <reference field="5" count="1" selected="0">
            <x v="3"/>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8BEAC8-01B8-4605-911C-5468A23DA208}" name="PivotTable2"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rowHeaderCaption="Salesperson">
  <location ref="A3:B7" firstHeaderRow="1" firstDataRow="1" firstDataCol="1" rowPageCount="1" colPageCount="1"/>
  <pivotFields count="13">
    <pivotField showAll="0"/>
    <pivotField numFmtId="164" showAll="0"/>
    <pivotField showAll="0"/>
    <pivotField axis="axisPage" showAll="0">
      <items count="6">
        <item x="3"/>
        <item x="2"/>
        <item x="1"/>
        <item x="0"/>
        <item x="4"/>
        <item t="default"/>
      </items>
    </pivotField>
    <pivotField showAll="0"/>
    <pivotField showAll="0"/>
    <pivotField showAll="0"/>
    <pivotField numFmtId="165" showAll="0"/>
    <pivotField axis="axisRow" showAll="0">
      <items count="4">
        <item x="0"/>
        <item x="1"/>
        <item x="2"/>
        <item t="default"/>
      </items>
    </pivotField>
    <pivotField dataField="1" showAll="0"/>
    <pivotField showAll="0"/>
    <pivotField showAll="0"/>
    <pivotField showAll="0"/>
  </pivotFields>
  <rowFields count="1">
    <field x="8"/>
  </rowFields>
  <rowItems count="4">
    <i>
      <x/>
    </i>
    <i>
      <x v="1"/>
    </i>
    <i>
      <x v="2"/>
    </i>
    <i t="grand">
      <x/>
    </i>
  </rowItems>
  <colItems count="1">
    <i/>
  </colItems>
  <pageFields count="1">
    <pageField fld="3" hier="-1"/>
  </pageFields>
  <dataFields count="1">
    <dataField name="Sum of Revenue" fld="9" baseField="0" baseItem="0"/>
  </dataFields>
  <formats count="1">
    <format dxfId="15">
      <pivotArea outline="0" collapsedLevelsAreSubtotals="1" fieldPosition="0"/>
    </format>
  </formats>
  <chartFormats count="1">
    <chartFormat chart="3" format="3"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ADAB65-F79B-4B19-8CE5-923C85F770F8}" name="PivotTable1"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rowHeaderCaption="City">
  <location ref="G3:H9" firstHeaderRow="1" firstDataRow="1" firstDataCol="1"/>
  <pivotFields count="13">
    <pivotField showAll="0"/>
    <pivotField numFmtId="164" showAll="0"/>
    <pivotField showAll="0"/>
    <pivotField axis="axisRow" showAll="0">
      <items count="6">
        <item x="3"/>
        <item x="2"/>
        <item x="1"/>
        <item x="0"/>
        <item x="4"/>
        <item t="default"/>
      </items>
    </pivotField>
    <pivotField showAll="0"/>
    <pivotField showAll="0"/>
    <pivotField showAll="0"/>
    <pivotField numFmtId="165" showAll="0"/>
    <pivotField showAll="0"/>
    <pivotField dataField="1" showAll="0"/>
    <pivotField showAll="0"/>
    <pivotField showAll="0"/>
    <pivotField showAll="0"/>
  </pivotFields>
  <rowFields count="1">
    <field x="3"/>
  </rowFields>
  <rowItems count="6">
    <i>
      <x/>
    </i>
    <i>
      <x v="1"/>
    </i>
    <i>
      <x v="2"/>
    </i>
    <i>
      <x v="3"/>
    </i>
    <i>
      <x v="4"/>
    </i>
    <i t="grand">
      <x/>
    </i>
  </rowItems>
  <colItems count="1">
    <i/>
  </colItems>
  <dataFields count="1">
    <dataField name="Sum of Revenue" fld="9" baseField="0" baseItem="0"/>
  </dataFields>
  <formats count="1">
    <format dxfId="16">
      <pivotArea outline="0" collapsedLevelsAreSubtotals="1" fieldPosition="0"/>
    </format>
  </formats>
  <chartFormats count="1">
    <chartFormat chart="3" format="3"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DB7CBC-36BC-4853-8DA3-4B4D490736FD}" name="PivotTable4"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Customer">
  <location ref="J3:K17" firstHeaderRow="1" firstDataRow="1" firstDataCol="1"/>
  <pivotFields count="13">
    <pivotField showAll="0"/>
    <pivotField numFmtId="164" showAll="0"/>
    <pivotField axis="axisRow" showAll="0" sortType="descending">
      <items count="14">
        <item x="10"/>
        <item x="0"/>
        <item x="3"/>
        <item x="8"/>
        <item x="6"/>
        <item x="7"/>
        <item x="2"/>
        <item x="5"/>
        <item x="9"/>
        <item x="12"/>
        <item x="1"/>
        <item x="4"/>
        <item x="11"/>
        <item t="default"/>
      </items>
      <autoSortScope>
        <pivotArea dataOnly="0" outline="0" fieldPosition="0">
          <references count="1">
            <reference field="4294967294" count="1" selected="0">
              <x v="0"/>
            </reference>
          </references>
        </pivotArea>
      </autoSortScope>
    </pivotField>
    <pivotField showAll="0" sortType="descending">
      <items count="6">
        <item x="3"/>
        <item x="2"/>
        <item x="1"/>
        <item x="0"/>
        <item x="4"/>
        <item t="default"/>
      </items>
      <autoSortScope>
        <pivotArea dataOnly="0" outline="0" fieldPosition="0">
          <references count="1">
            <reference field="4294967294" count="1" selected="0">
              <x v="0"/>
            </reference>
          </references>
        </pivotArea>
      </autoSortScope>
    </pivotField>
    <pivotField showAll="0"/>
    <pivotField showAll="0" sortType="descending">
      <items count="5">
        <item x="2"/>
        <item x="0"/>
        <item x="3"/>
        <item x="1"/>
        <item t="default"/>
      </items>
      <autoSortScope>
        <pivotArea dataOnly="0" outline="0" fieldPosition="0">
          <references count="1">
            <reference field="4294967294" count="1" selected="0">
              <x v="0"/>
            </reference>
          </references>
        </pivotArea>
      </autoSortScope>
    </pivotField>
    <pivotField showAll="0"/>
    <pivotField numFmtId="165" showAll="0"/>
    <pivotField showAll="0"/>
    <pivotField dataField="1" showAll="0"/>
    <pivotField showAll="0"/>
    <pivotField showAll="0"/>
    <pivotField showAll="0"/>
  </pivotFields>
  <rowFields count="1">
    <field x="2"/>
  </rowFields>
  <rowItems count="14">
    <i>
      <x v="9"/>
    </i>
    <i>
      <x v="1"/>
    </i>
    <i>
      <x v="6"/>
    </i>
    <i>
      <x v="3"/>
    </i>
    <i>
      <x v="11"/>
    </i>
    <i>
      <x v="7"/>
    </i>
    <i>
      <x v="2"/>
    </i>
    <i>
      <x v="5"/>
    </i>
    <i>
      <x v="8"/>
    </i>
    <i>
      <x v="10"/>
    </i>
    <i>
      <x v="12"/>
    </i>
    <i>
      <x v="4"/>
    </i>
    <i>
      <x/>
    </i>
    <i t="grand">
      <x/>
    </i>
  </rowItems>
  <colItems count="1">
    <i/>
  </colItems>
  <dataFields count="1">
    <dataField name="Total Revenue" fld="9" baseField="0" baseItem="0" numFmtId="165"/>
  </dataFields>
  <formats count="1">
    <format dxfId="17">
      <pivotArea outline="0" collapsedLevelsAreSubtotals="1" fieldPosition="0"/>
    </format>
  </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BCBDE8-1514-4520-856A-32A0E9A72A1E}" name="PivotTable4"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Top Salesperson">
  <location ref="H12:I15" firstHeaderRow="1" firstDataRow="1" firstDataCol="1"/>
  <pivotFields count="13">
    <pivotField showAll="0"/>
    <pivotField numFmtId="164" showAll="0"/>
    <pivotField showAll="0"/>
    <pivotField showAll="0">
      <items count="6">
        <item h="1" x="3"/>
        <item h="1" x="2"/>
        <item h="1" x="1"/>
        <item x="0"/>
        <item h="1" x="4"/>
        <item t="default"/>
      </items>
    </pivotField>
    <pivotField showAll="0"/>
    <pivotField showAll="0"/>
    <pivotField showAll="0"/>
    <pivotField numFmtId="165"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s>
  <rowFields count="1">
    <field x="8"/>
  </rowFields>
  <rowItems count="3">
    <i>
      <x/>
    </i>
    <i>
      <x v="2"/>
    </i>
    <i>
      <x v="1"/>
    </i>
  </rowItems>
  <colItems count="1">
    <i/>
  </colItems>
  <dataFields count="1">
    <dataField name="Total Sales" fld="9" baseField="0" baseItem="0" numFmtId="165"/>
  </dataFields>
  <formats count="1">
    <format dxfId="6">
      <pivotArea outline="0" collapsedLevelsAreSubtotals="1" fieldPosition="0"/>
    </format>
  </format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87CA0F-7CBC-42CB-B7D3-CEE9180D413B}" name="PivotTable3"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Top City">
  <location ref="H9:I10" firstHeaderRow="1" firstDataRow="1" firstDataCol="1"/>
  <pivotFields count="13">
    <pivotField showAll="0"/>
    <pivotField numFmtId="164" showAll="0"/>
    <pivotField showAll="0"/>
    <pivotField axis="axisRow" showAll="0">
      <items count="6">
        <item h="1" x="3"/>
        <item h="1" x="2"/>
        <item h="1" x="1"/>
        <item x="0"/>
        <item h="1" x="4"/>
        <item t="default"/>
      </items>
    </pivotField>
    <pivotField showAll="0"/>
    <pivotField showAll="0"/>
    <pivotField showAll="0"/>
    <pivotField numFmtId="165" showAll="0"/>
    <pivotField showAll="0"/>
    <pivotField dataField="1" showAll="0"/>
    <pivotField showAll="0"/>
    <pivotField showAll="0"/>
    <pivotField showAll="0"/>
  </pivotFields>
  <rowFields count="1">
    <field x="3"/>
  </rowFields>
  <rowItems count="1">
    <i>
      <x v="3"/>
    </i>
  </rowItems>
  <colItems count="1">
    <i/>
  </colItems>
  <dataFields count="1">
    <dataField name="Total Sales" fld="9" baseField="0" baseItem="0" numFmtId="165"/>
  </dataFields>
  <formats count="6">
    <format dxfId="12">
      <pivotArea outline="0" collapsedLevelsAreSubtotals="1" fieldPosition="0"/>
    </format>
    <format dxfId="11">
      <pivotArea type="all" dataOnly="0" outline="0" fieldPosition="0"/>
    </format>
    <format dxfId="10">
      <pivotArea outline="0" collapsedLevelsAreSubtotals="1" fieldPosition="0"/>
    </format>
    <format dxfId="9">
      <pivotArea field="3" type="button" dataOnly="0" labelOnly="1" outline="0" axis="axisRow" fieldPosition="0"/>
    </format>
    <format dxfId="8">
      <pivotArea dataOnly="0" labelOnly="1" fieldPosition="0">
        <references count="1">
          <reference field="3" count="0"/>
        </references>
      </pivotArea>
    </format>
    <format dxfId="7">
      <pivotArea dataOnly="0" labelOnly="1" outline="0" axis="axisValues" fieldPosition="0"/>
    </format>
  </formats>
  <pivotTableStyleInfo name="PivotStyleDark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8D5BE61-5F86-4EE3-9217-E6DC73E3C38E}"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8:I19" firstHeaderRow="1" firstDataRow="1" firstDataCol="0"/>
  <pivotFields count="13">
    <pivotField dataField="1" showAll="0"/>
    <pivotField numFmtId="164" showAll="0"/>
    <pivotField showAll="0"/>
    <pivotField showAll="0"/>
    <pivotField showAll="0"/>
    <pivotField showAll="0"/>
    <pivotField showAll="0"/>
    <pivotField numFmtId="165" showAll="0"/>
    <pivotField showAll="0">
      <items count="4">
        <item x="0"/>
        <item x="1"/>
        <item x="2"/>
        <item t="default"/>
      </items>
    </pivotField>
    <pivotField showAll="0"/>
    <pivotField showAll="0"/>
    <pivotField showAll="0"/>
    <pivotField showAll="0"/>
  </pivotFields>
  <rowItems count="1">
    <i/>
  </rowItems>
  <colItems count="1">
    <i/>
  </colItems>
  <dataFields count="1">
    <dataField name="Total Orders" fld="0" subtotal="count" baseField="0" baseItem="0"/>
  </dataField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3EF0F22-E438-44D5-9028-EF184D27AF60}"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21:I22" firstHeaderRow="1" firstDataRow="1" firstDataCol="0"/>
  <pivotFields count="13">
    <pivotField showAll="0"/>
    <pivotField numFmtId="164" showAll="0"/>
    <pivotField showAll="0"/>
    <pivotField showAll="0">
      <items count="6">
        <item x="3"/>
        <item x="2"/>
        <item h="1" x="1"/>
        <item h="1" x="0"/>
        <item h="1" x="4"/>
        <item t="default"/>
      </items>
    </pivotField>
    <pivotField showAll="0"/>
    <pivotField showAll="0"/>
    <pivotField showAll="0"/>
    <pivotField numFmtId="165" showAll="0"/>
    <pivotField showAll="0"/>
    <pivotField dataField="1" showAll="0"/>
    <pivotField showAll="0"/>
    <pivotField showAll="0"/>
    <pivotField showAll="0"/>
  </pivotFields>
  <rowItems count="1">
    <i/>
  </rowItems>
  <colItems count="1">
    <i/>
  </colItems>
  <dataFields count="1">
    <dataField name="Total Revenue" fld="9" baseField="0" baseItem="0" numFmtId="165"/>
  </dataFields>
  <formats count="1">
    <format dxfId="13">
      <pivotArea outline="0" collapsedLevelsAreSubtotals="1" fieldPosition="0"/>
    </format>
  </formats>
  <pivotTableStyleInfo name="PivotStyleDark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EA610205-5A6A-414C-9177-B05CB71D0FD9}" sourceName="City">
  <pivotTables>
    <pivotTable tabId="3" name="PivotTable1"/>
  </pivotTables>
  <data>
    <tabular pivotCacheId="1664520873">
      <items count="5">
        <i x="3" s="1"/>
        <i x="2" s="1"/>
        <i x="1"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CE7F720-5C7B-4450-90EE-EE814FBEA057}" sourceName="Category">
  <pivotTables>
    <pivotTable tabId="3" name="PivotTable3"/>
  </pivotTables>
  <data>
    <tabular pivotCacheId="1664520873">
      <items count="4">
        <i x="2"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CD8B2527-1FDD-487A-8772-738CA4173E3C}" sourceName="Salesperson">
  <pivotTables>
    <pivotTable tabId="3" name="PivotTable2"/>
  </pivotTables>
  <data>
    <tabular pivotCacheId="1664520873">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AEF840BE-68E4-4241-96DA-9FF27B2AE1DD}" cache="Slicer_City" caption="City" columnCount="5" style="Slicer Style 1" rowHeight="251883"/>
  <slicer name="Category" xr10:uid="{C7F6705F-DEC6-4C74-B321-EBA8CC331E3B}" cache="Slicer_Category" caption="Category" columnCount="4" style="Slicer Style 2" rowHeight="251883"/>
  <slicer name="Salesperson" xr10:uid="{1BE86A8B-7421-4E56-9CED-C0A15F8BEE28}" cache="Slicer_Salesperson" caption="Salesperson" columnCount="3" style="Slicer Style 3"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7.xml"/><Relationship Id="rId7" Type="http://schemas.microsoft.com/office/2007/relationships/slicer" Target="../slicers/slicer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444F2-444B-4A21-9BB3-CE7456FF0E79}">
  <dimension ref="A1:I16"/>
  <sheetViews>
    <sheetView zoomScale="120" zoomScaleNormal="120" workbookViewId="0">
      <selection activeCell="C13" sqref="C13"/>
    </sheetView>
  </sheetViews>
  <sheetFormatPr defaultRowHeight="14.5" x14ac:dyDescent="0.35"/>
  <cols>
    <col min="1" max="1" width="10.36328125" customWidth="1"/>
    <col min="2" max="2" width="11.26953125" customWidth="1"/>
    <col min="3" max="3" width="15.36328125" customWidth="1"/>
    <col min="4" max="4" width="9.6328125" bestFit="1" customWidth="1"/>
    <col min="5" max="5" width="18.7265625" customWidth="1"/>
    <col min="6" max="6" width="14.08984375" customWidth="1"/>
    <col min="7" max="7" width="15.08984375" customWidth="1"/>
    <col min="8" max="8" width="11.90625" customWidth="1"/>
    <col min="9" max="9" width="14.54296875" customWidth="1"/>
  </cols>
  <sheetData>
    <row r="1" spans="1:9" x14ac:dyDescent="0.35">
      <c r="A1" s="2" t="s">
        <v>0</v>
      </c>
      <c r="B1" s="2" t="s">
        <v>1</v>
      </c>
      <c r="C1" s="2" t="s">
        <v>2</v>
      </c>
      <c r="D1" s="2" t="s">
        <v>3</v>
      </c>
      <c r="E1" s="2" t="s">
        <v>4</v>
      </c>
      <c r="F1" s="2" t="s">
        <v>5</v>
      </c>
      <c r="G1" s="2" t="s">
        <v>6</v>
      </c>
      <c r="H1" s="2" t="s">
        <v>7</v>
      </c>
      <c r="I1" s="2" t="s">
        <v>8</v>
      </c>
    </row>
    <row r="2" spans="1:9" x14ac:dyDescent="0.35">
      <c r="A2" s="1">
        <v>2001</v>
      </c>
      <c r="B2" s="3">
        <v>46054</v>
      </c>
      <c r="C2" s="1" t="s">
        <v>9</v>
      </c>
      <c r="D2" s="1" t="s">
        <v>10</v>
      </c>
      <c r="E2" s="1" t="s">
        <v>11</v>
      </c>
      <c r="F2" s="1" t="s">
        <v>12</v>
      </c>
      <c r="G2" s="1">
        <v>2</v>
      </c>
      <c r="H2" s="1">
        <v>45</v>
      </c>
      <c r="I2" s="1" t="s">
        <v>13</v>
      </c>
    </row>
    <row r="3" spans="1:9" x14ac:dyDescent="0.35">
      <c r="A3" s="1">
        <v>2002</v>
      </c>
      <c r="B3" s="3">
        <v>46055</v>
      </c>
      <c r="C3" s="1" t="s">
        <v>14</v>
      </c>
      <c r="D3" s="1" t="s">
        <v>15</v>
      </c>
      <c r="E3" s="1" t="s">
        <v>16</v>
      </c>
      <c r="F3" s="1" t="s">
        <v>17</v>
      </c>
      <c r="G3" s="1">
        <v>5</v>
      </c>
      <c r="H3" s="1">
        <v>8</v>
      </c>
      <c r="I3" s="1" t="s">
        <v>18</v>
      </c>
    </row>
    <row r="4" spans="1:9" x14ac:dyDescent="0.35">
      <c r="A4" s="1">
        <v>2003</v>
      </c>
      <c r="B4" s="3">
        <v>46056</v>
      </c>
      <c r="C4" s="1" t="s">
        <v>19</v>
      </c>
      <c r="D4" s="1" t="s">
        <v>20</v>
      </c>
      <c r="E4" s="1" t="s">
        <v>21</v>
      </c>
      <c r="F4" s="1" t="s">
        <v>22</v>
      </c>
      <c r="G4" s="1">
        <v>1</v>
      </c>
      <c r="H4" s="1">
        <v>180</v>
      </c>
      <c r="I4" s="1" t="s">
        <v>13</v>
      </c>
    </row>
    <row r="5" spans="1:9" x14ac:dyDescent="0.35">
      <c r="A5" s="1">
        <v>2004</v>
      </c>
      <c r="B5" s="3">
        <v>46057</v>
      </c>
      <c r="C5" s="1" t="s">
        <v>23</v>
      </c>
      <c r="D5" s="1" t="s">
        <v>10</v>
      </c>
      <c r="E5" s="1" t="s">
        <v>24</v>
      </c>
      <c r="F5" s="1" t="s">
        <v>12</v>
      </c>
      <c r="G5" s="1">
        <v>3</v>
      </c>
      <c r="H5" s="1">
        <v>35</v>
      </c>
      <c r="I5" s="1" t="s">
        <v>25</v>
      </c>
    </row>
    <row r="6" spans="1:9" x14ac:dyDescent="0.35">
      <c r="A6" s="1">
        <v>2005</v>
      </c>
      <c r="B6" s="3">
        <v>46058</v>
      </c>
      <c r="C6" s="1" t="s">
        <v>26</v>
      </c>
      <c r="D6" s="1" t="s">
        <v>27</v>
      </c>
      <c r="E6" s="1" t="s">
        <v>28</v>
      </c>
      <c r="F6" s="1" t="s">
        <v>29</v>
      </c>
      <c r="G6" s="1">
        <v>10</v>
      </c>
      <c r="H6" s="1">
        <v>12</v>
      </c>
      <c r="I6" s="1" t="s">
        <v>18</v>
      </c>
    </row>
    <row r="7" spans="1:9" x14ac:dyDescent="0.35">
      <c r="A7" s="1">
        <v>2006</v>
      </c>
      <c r="B7" s="3">
        <v>46059</v>
      </c>
      <c r="C7" s="1" t="s">
        <v>30</v>
      </c>
      <c r="D7" s="1" t="s">
        <v>31</v>
      </c>
      <c r="E7" s="1" t="s">
        <v>32</v>
      </c>
      <c r="F7" s="1" t="s">
        <v>33</v>
      </c>
      <c r="G7" s="1">
        <v>2</v>
      </c>
      <c r="H7" s="1">
        <v>55</v>
      </c>
      <c r="I7" s="1" t="s">
        <v>13</v>
      </c>
    </row>
    <row r="8" spans="1:9" x14ac:dyDescent="0.35">
      <c r="A8" s="1">
        <v>2007</v>
      </c>
      <c r="B8" s="3">
        <v>46059</v>
      </c>
      <c r="C8" s="1" t="s">
        <v>30</v>
      </c>
      <c r="D8" s="1" t="s">
        <v>31</v>
      </c>
      <c r="E8" s="1" t="s">
        <v>32</v>
      </c>
      <c r="F8" s="1" t="s">
        <v>33</v>
      </c>
      <c r="G8" s="1">
        <v>2</v>
      </c>
      <c r="H8" s="1">
        <v>55</v>
      </c>
      <c r="I8" s="1" t="s">
        <v>13</v>
      </c>
    </row>
    <row r="9" spans="1:9" x14ac:dyDescent="0.35">
      <c r="A9" s="1">
        <v>2008</v>
      </c>
      <c r="B9" s="3">
        <v>46060</v>
      </c>
      <c r="C9" s="1" t="s">
        <v>34</v>
      </c>
      <c r="D9" s="1" t="s">
        <v>10</v>
      </c>
      <c r="E9" s="1" t="s">
        <v>16</v>
      </c>
      <c r="F9" s="1" t="s">
        <v>12</v>
      </c>
      <c r="G9" s="1">
        <v>-3</v>
      </c>
      <c r="H9" s="1">
        <v>8</v>
      </c>
      <c r="I9" s="1" t="s">
        <v>25</v>
      </c>
    </row>
    <row r="10" spans="1:9" x14ac:dyDescent="0.35">
      <c r="A10" s="1">
        <v>2009</v>
      </c>
      <c r="B10" s="3">
        <v>46061</v>
      </c>
      <c r="C10" s="1" t="s">
        <v>35</v>
      </c>
      <c r="D10" s="1" t="s">
        <v>20</v>
      </c>
      <c r="E10" s="1" t="s">
        <v>36</v>
      </c>
      <c r="F10" s="1" t="s">
        <v>22</v>
      </c>
      <c r="G10" s="1">
        <v>6</v>
      </c>
      <c r="H10" s="1">
        <v>15</v>
      </c>
      <c r="I10" s="1" t="s">
        <v>13</v>
      </c>
    </row>
    <row r="11" spans="1:9" x14ac:dyDescent="0.35">
      <c r="A11" s="1">
        <v>2010</v>
      </c>
      <c r="B11" s="3">
        <v>46062</v>
      </c>
      <c r="C11" s="1" t="s">
        <v>18</v>
      </c>
      <c r="D11" s="1" t="s">
        <v>37</v>
      </c>
      <c r="E11" s="1" t="s">
        <v>38</v>
      </c>
      <c r="F11" s="1" t="s">
        <v>12</v>
      </c>
      <c r="G11" s="1">
        <v>2</v>
      </c>
      <c r="H11" s="1">
        <v>75</v>
      </c>
      <c r="I11" s="1" t="s">
        <v>18</v>
      </c>
    </row>
    <row r="12" spans="1:9" x14ac:dyDescent="0.35">
      <c r="A12" s="1">
        <v>2011</v>
      </c>
      <c r="B12" s="3">
        <v>46063</v>
      </c>
      <c r="C12" s="1" t="s">
        <v>39</v>
      </c>
      <c r="D12" s="1" t="s">
        <v>10</v>
      </c>
      <c r="E12" s="1" t="s">
        <v>40</v>
      </c>
      <c r="F12" s="1" t="s">
        <v>29</v>
      </c>
      <c r="G12" s="1">
        <v>7</v>
      </c>
      <c r="H12" s="1">
        <v>10</v>
      </c>
      <c r="I12" s="1" t="s">
        <v>25</v>
      </c>
    </row>
    <row r="13" spans="1:9" x14ac:dyDescent="0.35">
      <c r="A13" s="1">
        <v>2012</v>
      </c>
      <c r="B13" s="3">
        <v>46064</v>
      </c>
      <c r="C13" s="1" t="s">
        <v>41</v>
      </c>
      <c r="D13" s="1" t="s">
        <v>31</v>
      </c>
      <c r="E13" s="1" t="s">
        <v>42</v>
      </c>
      <c r="F13" s="1" t="s">
        <v>33</v>
      </c>
      <c r="G13" s="1">
        <v>0</v>
      </c>
      <c r="H13" s="1">
        <v>40</v>
      </c>
      <c r="I13" s="1" t="s">
        <v>13</v>
      </c>
    </row>
    <row r="14" spans="1:9" x14ac:dyDescent="0.35">
      <c r="A14" s="1">
        <v>2013</v>
      </c>
      <c r="B14" s="3">
        <v>46065</v>
      </c>
      <c r="C14" s="1" t="s">
        <v>43</v>
      </c>
      <c r="D14" s="1" t="s">
        <v>20</v>
      </c>
      <c r="E14" s="1" t="s">
        <v>44</v>
      </c>
      <c r="F14" s="1" t="s">
        <v>29</v>
      </c>
      <c r="G14" s="1">
        <v>4</v>
      </c>
      <c r="H14" s="1">
        <v>5</v>
      </c>
      <c r="I14" s="1" t="s">
        <v>18</v>
      </c>
    </row>
    <row r="15" spans="1:9" x14ac:dyDescent="0.35">
      <c r="A15" s="1">
        <v>2014</v>
      </c>
      <c r="B15" s="3" t="s">
        <v>45</v>
      </c>
      <c r="C15" s="1" t="s">
        <v>46</v>
      </c>
      <c r="D15" s="1" t="s">
        <v>10</v>
      </c>
      <c r="E15" s="1" t="s">
        <v>47</v>
      </c>
      <c r="F15" s="1" t="s">
        <v>12</v>
      </c>
      <c r="G15" s="1">
        <v>1</v>
      </c>
      <c r="H15" s="1">
        <v>220</v>
      </c>
      <c r="I15" s="1" t="s">
        <v>25</v>
      </c>
    </row>
    <row r="16" spans="1:9" x14ac:dyDescent="0.35">
      <c r="A16" s="1">
        <v>2015</v>
      </c>
      <c r="B16" s="3">
        <v>46067</v>
      </c>
      <c r="C16" s="1" t="s">
        <v>9</v>
      </c>
      <c r="D16" s="1" t="s">
        <v>10</v>
      </c>
      <c r="E16" s="1" t="s">
        <v>11</v>
      </c>
      <c r="F16" s="1" t="s">
        <v>12</v>
      </c>
      <c r="G16" s="1">
        <v>2</v>
      </c>
      <c r="H16" s="1">
        <v>45</v>
      </c>
      <c r="I16" s="1"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D222C-8511-4072-B709-ADCD8654C65C}">
  <dimension ref="A1:M15"/>
  <sheetViews>
    <sheetView topLeftCell="C2" zoomScale="130" zoomScaleNormal="130" workbookViewId="0">
      <selection activeCell="G21" sqref="G21"/>
    </sheetView>
  </sheetViews>
  <sheetFormatPr defaultRowHeight="14.5" x14ac:dyDescent="0.35"/>
  <cols>
    <col min="1" max="1" width="10.54296875" customWidth="1"/>
    <col min="2" max="2" width="12.453125" customWidth="1"/>
    <col min="3" max="3" width="15.36328125" bestFit="1" customWidth="1"/>
    <col min="4" max="4" width="9.6328125" bestFit="1" customWidth="1"/>
    <col min="5" max="5" width="15.6328125" bestFit="1" customWidth="1"/>
    <col min="6" max="6" width="12.36328125" customWidth="1"/>
    <col min="7" max="7" width="10.08984375" customWidth="1"/>
    <col min="8" max="8" width="11.36328125" customWidth="1"/>
    <col min="9" max="9" width="13.36328125" customWidth="1"/>
    <col min="10" max="10" width="11.90625" customWidth="1"/>
    <col min="11" max="11" width="9.1796875" customWidth="1"/>
    <col min="12" max="12" width="12.36328125" customWidth="1"/>
    <col min="13" max="13" width="9.54296875" customWidth="1"/>
  </cols>
  <sheetData>
    <row r="1" spans="1:13" s="4" customFormat="1" x14ac:dyDescent="0.35">
      <c r="A1" s="13" t="s">
        <v>0</v>
      </c>
      <c r="B1" s="13" t="s">
        <v>1</v>
      </c>
      <c r="C1" s="13" t="s">
        <v>2</v>
      </c>
      <c r="D1" s="13" t="s">
        <v>3</v>
      </c>
      <c r="E1" s="13" t="s">
        <v>4</v>
      </c>
      <c r="F1" s="13" t="s">
        <v>5</v>
      </c>
      <c r="G1" s="13" t="s">
        <v>6</v>
      </c>
      <c r="H1" s="13" t="s">
        <v>7</v>
      </c>
      <c r="I1" s="13" t="s">
        <v>8</v>
      </c>
      <c r="J1" s="14" t="s">
        <v>51</v>
      </c>
      <c r="K1" s="14" t="s">
        <v>52</v>
      </c>
      <c r="L1" s="14" t="s">
        <v>53</v>
      </c>
      <c r="M1" s="14" t="s">
        <v>54</v>
      </c>
    </row>
    <row r="2" spans="1:13" x14ac:dyDescent="0.35">
      <c r="A2" s="6">
        <v>2001</v>
      </c>
      <c r="B2" s="7">
        <v>46054</v>
      </c>
      <c r="C2" s="6" t="s">
        <v>9</v>
      </c>
      <c r="D2" s="6" t="s">
        <v>10</v>
      </c>
      <c r="E2" s="6" t="s">
        <v>11</v>
      </c>
      <c r="F2" s="6" t="s">
        <v>12</v>
      </c>
      <c r="G2" s="6">
        <v>2</v>
      </c>
      <c r="H2" s="8">
        <v>45</v>
      </c>
      <c r="I2" s="6" t="s">
        <v>13</v>
      </c>
      <c r="J2" s="9">
        <v>90</v>
      </c>
      <c r="K2" s="9">
        <v>4.5</v>
      </c>
      <c r="L2" s="9">
        <v>94.5</v>
      </c>
      <c r="M2" s="10" t="str">
        <f>TEXT(B2,"MMMM")</f>
        <v>February</v>
      </c>
    </row>
    <row r="3" spans="1:13" x14ac:dyDescent="0.35">
      <c r="A3" s="6">
        <v>2002</v>
      </c>
      <c r="B3" s="7">
        <v>46055</v>
      </c>
      <c r="C3" s="6" t="s">
        <v>48</v>
      </c>
      <c r="D3" s="6" t="s">
        <v>31</v>
      </c>
      <c r="E3" s="6" t="s">
        <v>16</v>
      </c>
      <c r="F3" s="6" t="s">
        <v>12</v>
      </c>
      <c r="G3" s="6">
        <v>5</v>
      </c>
      <c r="H3" s="8">
        <v>8</v>
      </c>
      <c r="I3" s="6" t="s">
        <v>18</v>
      </c>
      <c r="J3" s="9">
        <v>40</v>
      </c>
      <c r="K3" s="9">
        <v>2</v>
      </c>
      <c r="L3" s="9">
        <v>42</v>
      </c>
      <c r="M3" s="10" t="str">
        <f t="shared" ref="M3:M15" si="0">TEXT(B3,"MMMM")</f>
        <v>February</v>
      </c>
    </row>
    <row r="4" spans="1:13" x14ac:dyDescent="0.35">
      <c r="A4" s="6">
        <v>2003</v>
      </c>
      <c r="B4" s="7">
        <v>46056</v>
      </c>
      <c r="C4" s="6" t="s">
        <v>19</v>
      </c>
      <c r="D4" s="6" t="s">
        <v>20</v>
      </c>
      <c r="E4" s="6" t="s">
        <v>21</v>
      </c>
      <c r="F4" s="6" t="s">
        <v>22</v>
      </c>
      <c r="G4" s="6">
        <v>1</v>
      </c>
      <c r="H4" s="8">
        <v>180</v>
      </c>
      <c r="I4" s="6" t="s">
        <v>13</v>
      </c>
      <c r="J4" s="9">
        <v>180</v>
      </c>
      <c r="K4" s="9">
        <v>9</v>
      </c>
      <c r="L4" s="9">
        <v>189</v>
      </c>
      <c r="M4" s="10" t="str">
        <f t="shared" si="0"/>
        <v>February</v>
      </c>
    </row>
    <row r="5" spans="1:13" x14ac:dyDescent="0.35">
      <c r="A5" s="6">
        <v>2004</v>
      </c>
      <c r="B5" s="7">
        <v>46057</v>
      </c>
      <c r="C5" s="6" t="s">
        <v>23</v>
      </c>
      <c r="D5" s="6" t="s">
        <v>10</v>
      </c>
      <c r="E5" s="6" t="s">
        <v>24</v>
      </c>
      <c r="F5" s="6" t="s">
        <v>12</v>
      </c>
      <c r="G5" s="6">
        <v>3</v>
      </c>
      <c r="H5" s="8">
        <v>35</v>
      </c>
      <c r="I5" s="6" t="s">
        <v>25</v>
      </c>
      <c r="J5" s="9">
        <v>105</v>
      </c>
      <c r="K5" s="9">
        <v>5.25</v>
      </c>
      <c r="L5" s="9">
        <v>110.25</v>
      </c>
      <c r="M5" s="10" t="str">
        <f t="shared" si="0"/>
        <v>February</v>
      </c>
    </row>
    <row r="6" spans="1:13" x14ac:dyDescent="0.35">
      <c r="A6" s="6">
        <v>2005</v>
      </c>
      <c r="B6" s="7">
        <v>46058</v>
      </c>
      <c r="C6" s="6" t="s">
        <v>26</v>
      </c>
      <c r="D6" s="6" t="s">
        <v>27</v>
      </c>
      <c r="E6" s="6" t="s">
        <v>28</v>
      </c>
      <c r="F6" s="6" t="s">
        <v>29</v>
      </c>
      <c r="G6" s="6">
        <v>10</v>
      </c>
      <c r="H6" s="8">
        <v>12</v>
      </c>
      <c r="I6" s="6" t="s">
        <v>18</v>
      </c>
      <c r="J6" s="9">
        <v>120</v>
      </c>
      <c r="K6" s="9">
        <v>6</v>
      </c>
      <c r="L6" s="9">
        <v>126</v>
      </c>
      <c r="M6" s="10" t="str">
        <f t="shared" si="0"/>
        <v>February</v>
      </c>
    </row>
    <row r="7" spans="1:13" x14ac:dyDescent="0.35">
      <c r="A7" s="6">
        <v>2006</v>
      </c>
      <c r="B7" s="7">
        <v>46059</v>
      </c>
      <c r="C7" s="6" t="s">
        <v>30</v>
      </c>
      <c r="D7" s="6" t="s">
        <v>31</v>
      </c>
      <c r="E7" s="6" t="s">
        <v>32</v>
      </c>
      <c r="F7" s="6" t="s">
        <v>33</v>
      </c>
      <c r="G7" s="6">
        <v>2</v>
      </c>
      <c r="H7" s="8">
        <v>55</v>
      </c>
      <c r="I7" s="6" t="s">
        <v>13</v>
      </c>
      <c r="J7" s="9">
        <v>110</v>
      </c>
      <c r="K7" s="9">
        <v>5.5</v>
      </c>
      <c r="L7" s="9">
        <v>115.5</v>
      </c>
      <c r="M7" s="10" t="str">
        <f t="shared" si="0"/>
        <v>February</v>
      </c>
    </row>
    <row r="8" spans="1:13" x14ac:dyDescent="0.35">
      <c r="A8" s="6">
        <v>2007</v>
      </c>
      <c r="B8" s="7">
        <v>46060</v>
      </c>
      <c r="C8" s="6" t="s">
        <v>34</v>
      </c>
      <c r="D8" s="6" t="s">
        <v>10</v>
      </c>
      <c r="E8" s="6" t="s">
        <v>16</v>
      </c>
      <c r="F8" s="6" t="s">
        <v>12</v>
      </c>
      <c r="G8" s="6" t="s">
        <v>49</v>
      </c>
      <c r="H8" s="8">
        <v>8</v>
      </c>
      <c r="I8" s="6" t="s">
        <v>25</v>
      </c>
      <c r="J8" s="9"/>
      <c r="K8" s="9"/>
      <c r="L8" s="9"/>
      <c r="M8" s="10" t="str">
        <f t="shared" si="0"/>
        <v>February</v>
      </c>
    </row>
    <row r="9" spans="1:13" x14ac:dyDescent="0.35">
      <c r="A9" s="6">
        <v>2008</v>
      </c>
      <c r="B9" s="7">
        <v>46061</v>
      </c>
      <c r="C9" s="6" t="s">
        <v>35</v>
      </c>
      <c r="D9" s="6" t="s">
        <v>20</v>
      </c>
      <c r="E9" s="6" t="s">
        <v>36</v>
      </c>
      <c r="F9" s="6" t="s">
        <v>22</v>
      </c>
      <c r="G9" s="6">
        <v>6</v>
      </c>
      <c r="H9" s="8">
        <v>15</v>
      </c>
      <c r="I9" s="6" t="s">
        <v>13</v>
      </c>
      <c r="J9" s="9">
        <v>90</v>
      </c>
      <c r="K9" s="9">
        <v>4.5</v>
      </c>
      <c r="L9" s="9">
        <v>94.5</v>
      </c>
      <c r="M9" s="10" t="str">
        <f t="shared" si="0"/>
        <v>February</v>
      </c>
    </row>
    <row r="10" spans="1:13" x14ac:dyDescent="0.35">
      <c r="A10" s="6">
        <v>2009</v>
      </c>
      <c r="B10" s="7">
        <v>46062</v>
      </c>
      <c r="C10" s="6" t="s">
        <v>18</v>
      </c>
      <c r="D10" s="6" t="s">
        <v>37</v>
      </c>
      <c r="E10" s="6" t="s">
        <v>38</v>
      </c>
      <c r="F10" s="6" t="s">
        <v>12</v>
      </c>
      <c r="G10" s="6">
        <v>2</v>
      </c>
      <c r="H10" s="8">
        <v>75</v>
      </c>
      <c r="I10" s="6" t="s">
        <v>18</v>
      </c>
      <c r="J10" s="9">
        <v>150</v>
      </c>
      <c r="K10" s="9">
        <v>7.5</v>
      </c>
      <c r="L10" s="9">
        <v>157.5</v>
      </c>
      <c r="M10" s="10" t="str">
        <f t="shared" si="0"/>
        <v>February</v>
      </c>
    </row>
    <row r="11" spans="1:13" x14ac:dyDescent="0.35">
      <c r="A11" s="6">
        <v>2010</v>
      </c>
      <c r="B11" s="7">
        <v>46063</v>
      </c>
      <c r="C11" s="6" t="s">
        <v>39</v>
      </c>
      <c r="D11" s="6" t="s">
        <v>10</v>
      </c>
      <c r="E11" s="6" t="s">
        <v>40</v>
      </c>
      <c r="F11" s="6" t="s">
        <v>29</v>
      </c>
      <c r="G11" s="6">
        <v>7</v>
      </c>
      <c r="H11" s="8">
        <v>10</v>
      </c>
      <c r="I11" s="6" t="s">
        <v>25</v>
      </c>
      <c r="J11" s="9">
        <v>70</v>
      </c>
      <c r="K11" s="9">
        <v>3.5</v>
      </c>
      <c r="L11" s="9">
        <v>73.5</v>
      </c>
      <c r="M11" s="10" t="str">
        <f t="shared" si="0"/>
        <v>February</v>
      </c>
    </row>
    <row r="12" spans="1:13" x14ac:dyDescent="0.35">
      <c r="A12" s="6">
        <v>2011</v>
      </c>
      <c r="B12" s="7">
        <v>46064</v>
      </c>
      <c r="C12" s="6" t="s">
        <v>41</v>
      </c>
      <c r="D12" s="6" t="s">
        <v>31</v>
      </c>
      <c r="E12" s="6" t="s">
        <v>42</v>
      </c>
      <c r="F12" s="6" t="s">
        <v>33</v>
      </c>
      <c r="G12" s="6" t="s">
        <v>50</v>
      </c>
      <c r="H12" s="8">
        <v>40</v>
      </c>
      <c r="I12" s="6" t="s">
        <v>13</v>
      </c>
      <c r="J12" s="9"/>
      <c r="K12" s="9"/>
      <c r="L12" s="9"/>
      <c r="M12" s="10" t="str">
        <f t="shared" si="0"/>
        <v>February</v>
      </c>
    </row>
    <row r="13" spans="1:13" x14ac:dyDescent="0.35">
      <c r="A13" s="6">
        <v>2012</v>
      </c>
      <c r="B13" s="7">
        <v>46065</v>
      </c>
      <c r="C13" s="6" t="s">
        <v>43</v>
      </c>
      <c r="D13" s="6" t="s">
        <v>20</v>
      </c>
      <c r="E13" s="6" t="s">
        <v>44</v>
      </c>
      <c r="F13" s="6" t="s">
        <v>29</v>
      </c>
      <c r="G13" s="6">
        <v>4</v>
      </c>
      <c r="H13" s="8">
        <v>5</v>
      </c>
      <c r="I13" s="6" t="s">
        <v>18</v>
      </c>
      <c r="J13" s="9">
        <v>20</v>
      </c>
      <c r="K13" s="9">
        <v>1</v>
      </c>
      <c r="L13" s="9">
        <v>21</v>
      </c>
      <c r="M13" s="10" t="str">
        <f t="shared" si="0"/>
        <v>February</v>
      </c>
    </row>
    <row r="14" spans="1:13" x14ac:dyDescent="0.35">
      <c r="A14" s="6">
        <v>2013</v>
      </c>
      <c r="B14" s="7">
        <v>46066</v>
      </c>
      <c r="C14" s="6" t="s">
        <v>46</v>
      </c>
      <c r="D14" s="6" t="s">
        <v>10</v>
      </c>
      <c r="E14" s="6" t="s">
        <v>47</v>
      </c>
      <c r="F14" s="6" t="s">
        <v>12</v>
      </c>
      <c r="G14" s="6">
        <v>1</v>
      </c>
      <c r="H14" s="8">
        <v>220</v>
      </c>
      <c r="I14" s="6" t="s">
        <v>25</v>
      </c>
      <c r="J14" s="9">
        <v>220</v>
      </c>
      <c r="K14" s="9">
        <v>11</v>
      </c>
      <c r="L14" s="9">
        <v>231</v>
      </c>
      <c r="M14" s="10" t="str">
        <f t="shared" si="0"/>
        <v>February</v>
      </c>
    </row>
    <row r="15" spans="1:13" x14ac:dyDescent="0.35">
      <c r="A15" s="6">
        <v>2014</v>
      </c>
      <c r="B15" s="7">
        <v>46067</v>
      </c>
      <c r="C15" s="6" t="s">
        <v>9</v>
      </c>
      <c r="D15" s="6" t="s">
        <v>10</v>
      </c>
      <c r="E15" s="6" t="s">
        <v>11</v>
      </c>
      <c r="F15" s="6" t="s">
        <v>12</v>
      </c>
      <c r="G15" s="6">
        <v>2</v>
      </c>
      <c r="H15" s="8">
        <v>45</v>
      </c>
      <c r="I15" s="6" t="s">
        <v>13</v>
      </c>
      <c r="J15" s="9">
        <v>90</v>
      </c>
      <c r="K15" s="9">
        <v>4.5</v>
      </c>
      <c r="L15" s="9">
        <v>94.5</v>
      </c>
      <c r="M15" s="10" t="str">
        <f t="shared" si="0"/>
        <v>February</v>
      </c>
    </row>
  </sheetData>
  <conditionalFormatting sqref="A1:M15">
    <cfRule type="containsText" dxfId="5" priority="2" operator="containsText" text="ERROR">
      <formula>NOT(ISERROR(SEARCH("ERROR",A1)))</formula>
    </cfRule>
  </conditionalFormatting>
  <conditionalFormatting sqref="A2:M15">
    <cfRule type="expression" dxfId="4" priority="1">
      <formula>$G2="ERROR"</formula>
    </cfRule>
    <cfRule type="expression" dxfId="3" priority="4">
      <formula>$J2&lt;50</formula>
    </cfRule>
    <cfRule type="expression" dxfId="2" priority="5">
      <formula>$J2&gt;200</formula>
    </cfRule>
  </conditionalFormatting>
  <conditionalFormatting sqref="J1 J16:J1048576">
    <cfRule type="expression" dxfId="1" priority="6">
      <formula>$J2&gt;200</formula>
    </cfRule>
  </conditionalFormatting>
  <conditionalFormatting sqref="J2:J15">
    <cfRule type="duplicateValues" dxfId="0" priority="3"/>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9B5CA-7D4B-4F23-9248-ECAF8770E546}">
  <dimension ref="A1:K17"/>
  <sheetViews>
    <sheetView zoomScale="120" zoomScaleNormal="120" workbookViewId="0">
      <selection activeCell="B4" sqref="B4"/>
    </sheetView>
  </sheetViews>
  <sheetFormatPr defaultRowHeight="14.5" x14ac:dyDescent="0.35"/>
  <cols>
    <col min="1" max="1" width="13" bestFit="1" customWidth="1"/>
    <col min="2" max="2" width="13.6328125" bestFit="1" customWidth="1"/>
    <col min="3" max="3" width="1.90625" customWidth="1"/>
    <col min="4" max="4" width="17.453125" bestFit="1" customWidth="1"/>
    <col min="5" max="5" width="14.36328125" bestFit="1" customWidth="1"/>
    <col min="6" max="6" width="1.6328125" customWidth="1"/>
    <col min="7" max="7" width="10.36328125" bestFit="1" customWidth="1"/>
    <col min="8" max="8" width="14.36328125" bestFit="1" customWidth="1"/>
    <col min="9" max="9" width="1.7265625" customWidth="1"/>
    <col min="10" max="10" width="11.26953125" bestFit="1" customWidth="1"/>
    <col min="11" max="11" width="12.54296875" bestFit="1" customWidth="1"/>
  </cols>
  <sheetData>
    <row r="1" spans="1:11" x14ac:dyDescent="0.35">
      <c r="A1" s="11" t="s">
        <v>3</v>
      </c>
      <c r="B1" t="s">
        <v>75</v>
      </c>
    </row>
    <row r="3" spans="1:11" x14ac:dyDescent="0.35">
      <c r="A3" s="11" t="s">
        <v>8</v>
      </c>
      <c r="B3" t="s">
        <v>60</v>
      </c>
      <c r="D3" s="11" t="s">
        <v>57</v>
      </c>
      <c r="E3" t="s">
        <v>60</v>
      </c>
      <c r="G3" s="11" t="s">
        <v>3</v>
      </c>
      <c r="H3" t="s">
        <v>60</v>
      </c>
      <c r="J3" s="11" t="s">
        <v>58</v>
      </c>
      <c r="K3" t="s">
        <v>56</v>
      </c>
    </row>
    <row r="4" spans="1:11" x14ac:dyDescent="0.35">
      <c r="A4" s="12" t="s">
        <v>13</v>
      </c>
      <c r="B4" s="5">
        <v>560</v>
      </c>
      <c r="D4" s="12" t="s">
        <v>29</v>
      </c>
      <c r="E4" s="5">
        <v>210</v>
      </c>
      <c r="G4" s="12" t="s">
        <v>27</v>
      </c>
      <c r="H4" s="5">
        <v>120</v>
      </c>
      <c r="J4" s="12" t="s">
        <v>46</v>
      </c>
      <c r="K4" s="5">
        <v>220</v>
      </c>
    </row>
    <row r="5" spans="1:11" x14ac:dyDescent="0.35">
      <c r="A5" s="12" t="s">
        <v>18</v>
      </c>
      <c r="B5" s="5">
        <v>330</v>
      </c>
      <c r="D5" s="12" t="s">
        <v>12</v>
      </c>
      <c r="E5" s="5">
        <v>695</v>
      </c>
      <c r="G5" s="12" t="s">
        <v>20</v>
      </c>
      <c r="H5" s="5">
        <v>290</v>
      </c>
      <c r="J5" s="12" t="s">
        <v>9</v>
      </c>
      <c r="K5" s="5">
        <v>180</v>
      </c>
    </row>
    <row r="6" spans="1:11" x14ac:dyDescent="0.35">
      <c r="A6" s="12" t="s">
        <v>25</v>
      </c>
      <c r="B6" s="5">
        <v>395</v>
      </c>
      <c r="D6" s="12" t="s">
        <v>33</v>
      </c>
      <c r="E6" s="5">
        <v>110</v>
      </c>
      <c r="G6" s="12" t="s">
        <v>31</v>
      </c>
      <c r="H6" s="5">
        <v>150</v>
      </c>
      <c r="J6" s="12" t="s">
        <v>19</v>
      </c>
      <c r="K6" s="5">
        <v>180</v>
      </c>
    </row>
    <row r="7" spans="1:11" x14ac:dyDescent="0.35">
      <c r="A7" s="12" t="s">
        <v>55</v>
      </c>
      <c r="B7" s="5">
        <v>1285</v>
      </c>
      <c r="D7" s="12" t="s">
        <v>22</v>
      </c>
      <c r="E7" s="5">
        <v>270</v>
      </c>
      <c r="G7" s="12" t="s">
        <v>10</v>
      </c>
      <c r="H7" s="5">
        <v>575</v>
      </c>
      <c r="J7" s="12" t="s">
        <v>18</v>
      </c>
      <c r="K7" s="5">
        <v>150</v>
      </c>
    </row>
    <row r="8" spans="1:11" x14ac:dyDescent="0.35">
      <c r="D8" s="12" t="s">
        <v>55</v>
      </c>
      <c r="E8" s="5">
        <v>1285</v>
      </c>
      <c r="G8" s="12" t="s">
        <v>37</v>
      </c>
      <c r="H8" s="5">
        <v>150</v>
      </c>
      <c r="J8" s="12" t="s">
        <v>26</v>
      </c>
      <c r="K8" s="5">
        <v>120</v>
      </c>
    </row>
    <row r="9" spans="1:11" x14ac:dyDescent="0.35">
      <c r="G9" s="12" t="s">
        <v>55</v>
      </c>
      <c r="H9" s="5">
        <v>1285</v>
      </c>
      <c r="J9" s="12" t="s">
        <v>30</v>
      </c>
      <c r="K9" s="5">
        <v>110</v>
      </c>
    </row>
    <row r="10" spans="1:11" x14ac:dyDescent="0.35">
      <c r="J10" s="12" t="s">
        <v>23</v>
      </c>
      <c r="K10" s="5">
        <v>105</v>
      </c>
    </row>
    <row r="11" spans="1:11" x14ac:dyDescent="0.35">
      <c r="J11" s="12" t="s">
        <v>35</v>
      </c>
      <c r="K11" s="5">
        <v>90</v>
      </c>
    </row>
    <row r="12" spans="1:11" x14ac:dyDescent="0.35">
      <c r="J12" s="12" t="s">
        <v>39</v>
      </c>
      <c r="K12" s="5">
        <v>70</v>
      </c>
    </row>
    <row r="13" spans="1:11" x14ac:dyDescent="0.35">
      <c r="J13" s="12" t="s">
        <v>48</v>
      </c>
      <c r="K13" s="5">
        <v>40</v>
      </c>
    </row>
    <row r="14" spans="1:11" x14ac:dyDescent="0.35">
      <c r="J14" s="12" t="s">
        <v>43</v>
      </c>
      <c r="K14" s="5">
        <v>20</v>
      </c>
    </row>
    <row r="15" spans="1:11" x14ac:dyDescent="0.35">
      <c r="J15" s="12" t="s">
        <v>34</v>
      </c>
      <c r="K15" s="5"/>
    </row>
    <row r="16" spans="1:11" x14ac:dyDescent="0.35">
      <c r="J16" s="12" t="s">
        <v>41</v>
      </c>
      <c r="K16" s="5"/>
    </row>
    <row r="17" spans="10:11" x14ac:dyDescent="0.35">
      <c r="J17" s="12" t="s">
        <v>55</v>
      </c>
      <c r="K17" s="5">
        <v>1285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37EF5-D2F8-47C6-98BC-2956E9B16FF1}">
  <dimension ref="A1:T26"/>
  <sheetViews>
    <sheetView showGridLines="0" showRowColHeaders="0" tabSelected="1" topLeftCell="C4" zoomScaleNormal="100" workbookViewId="0">
      <selection activeCell="T18" sqref="T18"/>
    </sheetView>
  </sheetViews>
  <sheetFormatPr defaultRowHeight="14.5" x14ac:dyDescent="0.35"/>
  <cols>
    <col min="1" max="1" width="12.54296875" bestFit="1" customWidth="1"/>
    <col min="2" max="2" width="1.6328125" customWidth="1"/>
    <col min="3" max="3" width="16.81640625" bestFit="1" customWidth="1"/>
    <col min="4" max="4" width="9.81640625" bestFit="1" customWidth="1"/>
    <col min="7" max="7" width="2.54296875" customWidth="1"/>
    <col min="8" max="8" width="14.54296875" bestFit="1" customWidth="1"/>
    <col min="9" max="9" width="12.54296875" bestFit="1" customWidth="1"/>
    <col min="10" max="10" width="2.08984375" customWidth="1"/>
    <col min="12" max="12" width="16.6328125" customWidth="1"/>
  </cols>
  <sheetData>
    <row r="1" spans="1:18" ht="26.5" customHeight="1" x14ac:dyDescent="0.35">
      <c r="A1" s="21" t="s">
        <v>64</v>
      </c>
      <c r="B1" s="22"/>
      <c r="C1" s="22"/>
      <c r="D1" s="22"/>
      <c r="E1" s="22"/>
      <c r="F1" s="22"/>
      <c r="G1" s="22"/>
      <c r="H1" s="22"/>
      <c r="I1" s="22"/>
      <c r="J1" s="22"/>
      <c r="K1" s="22"/>
      <c r="L1" s="22"/>
      <c r="M1" s="22"/>
      <c r="N1" s="22"/>
      <c r="O1" s="22"/>
      <c r="P1" s="23"/>
      <c r="Q1" s="23"/>
      <c r="R1" s="23"/>
    </row>
    <row r="2" spans="1:18" ht="36" customHeight="1" x14ac:dyDescent="0.35">
      <c r="A2" s="22"/>
      <c r="B2" s="22"/>
      <c r="C2" s="22"/>
      <c r="D2" s="22"/>
      <c r="E2" s="22"/>
      <c r="F2" s="22"/>
      <c r="G2" s="22"/>
      <c r="H2" s="22"/>
      <c r="I2" s="22"/>
      <c r="J2" s="22"/>
      <c r="K2" s="22"/>
      <c r="L2" s="22"/>
      <c r="M2" s="22"/>
      <c r="N2" s="22"/>
      <c r="O2" s="22"/>
      <c r="P2" s="23"/>
      <c r="Q2" s="23"/>
      <c r="R2" s="23"/>
    </row>
    <row r="9" spans="1:18" ht="16" x14ac:dyDescent="0.4">
      <c r="H9" s="16" t="s">
        <v>61</v>
      </c>
      <c r="I9" s="17" t="s">
        <v>62</v>
      </c>
    </row>
    <row r="10" spans="1:18" ht="16" x14ac:dyDescent="0.4">
      <c r="H10" s="18" t="s">
        <v>10</v>
      </c>
      <c r="I10" s="19">
        <v>575</v>
      </c>
    </row>
    <row r="12" spans="1:18" x14ac:dyDescent="0.35">
      <c r="H12" s="11" t="s">
        <v>63</v>
      </c>
      <c r="I12" t="s">
        <v>62</v>
      </c>
    </row>
    <row r="13" spans="1:18" x14ac:dyDescent="0.35">
      <c r="H13" s="12" t="s">
        <v>13</v>
      </c>
      <c r="I13" s="5">
        <v>560</v>
      </c>
    </row>
    <row r="14" spans="1:18" x14ac:dyDescent="0.35">
      <c r="H14" s="12" t="s">
        <v>25</v>
      </c>
      <c r="I14" s="5">
        <v>395</v>
      </c>
    </row>
    <row r="15" spans="1:18" x14ac:dyDescent="0.35">
      <c r="H15" s="12" t="s">
        <v>18</v>
      </c>
      <c r="I15" s="5">
        <v>330</v>
      </c>
    </row>
    <row r="18" spans="9:20" x14ac:dyDescent="0.35">
      <c r="I18" t="s">
        <v>59</v>
      </c>
    </row>
    <row r="19" spans="9:20" x14ac:dyDescent="0.35">
      <c r="I19" s="15">
        <v>14</v>
      </c>
    </row>
    <row r="21" spans="9:20" x14ac:dyDescent="0.35">
      <c r="I21" t="s">
        <v>56</v>
      </c>
    </row>
    <row r="22" spans="9:20" x14ac:dyDescent="0.35">
      <c r="I22" s="5">
        <v>1285</v>
      </c>
    </row>
    <row r="26" spans="9:20" x14ac:dyDescent="0.35">
      <c r="T26" t="s">
        <v>74</v>
      </c>
    </row>
  </sheetData>
  <mergeCells count="3">
    <mergeCell ref="A1:O2"/>
    <mergeCell ref="P1:Q2"/>
    <mergeCell ref="R1:R2"/>
  </mergeCells>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E88E7-B932-43B3-9ADC-896CFFD912E9}">
  <dimension ref="A1:B8"/>
  <sheetViews>
    <sheetView showGridLines="0" showRowColHeaders="0" zoomScale="172" zoomScaleNormal="172" workbookViewId="0">
      <selection activeCell="B15" sqref="B15"/>
    </sheetView>
  </sheetViews>
  <sheetFormatPr defaultRowHeight="14.5" x14ac:dyDescent="0.35"/>
  <cols>
    <col min="1" max="1" width="8.81640625" bestFit="1" customWidth="1"/>
    <col min="2" max="2" width="91.36328125" bestFit="1" customWidth="1"/>
  </cols>
  <sheetData>
    <row r="1" spans="1:2" x14ac:dyDescent="0.35">
      <c r="A1" s="24" t="s">
        <v>73</v>
      </c>
      <c r="B1" s="24"/>
    </row>
    <row r="2" spans="1:2" x14ac:dyDescent="0.35">
      <c r="A2" s="24"/>
      <c r="B2" s="24"/>
    </row>
    <row r="3" spans="1:2" x14ac:dyDescent="0.35">
      <c r="A3" s="24"/>
      <c r="B3" s="24"/>
    </row>
    <row r="5" spans="1:2" x14ac:dyDescent="0.35">
      <c r="A5" s="20" t="s">
        <v>65</v>
      </c>
      <c r="B5" t="s">
        <v>66</v>
      </c>
    </row>
    <row r="6" spans="1:2" x14ac:dyDescent="0.35">
      <c r="A6" s="20" t="s">
        <v>67</v>
      </c>
      <c r="B6" t="s">
        <v>68</v>
      </c>
    </row>
    <row r="7" spans="1:2" x14ac:dyDescent="0.35">
      <c r="A7" s="20" t="s">
        <v>69</v>
      </c>
      <c r="B7" t="s">
        <v>70</v>
      </c>
    </row>
    <row r="8" spans="1:2" x14ac:dyDescent="0.35">
      <c r="A8" s="20" t="s">
        <v>71</v>
      </c>
      <c r="B8" t="s">
        <v>72</v>
      </c>
    </row>
  </sheetData>
  <mergeCells count="1">
    <mergeCell ref="A1:B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RawData</vt:lpstr>
      <vt:lpstr>CleanedData</vt:lpstr>
      <vt:lpstr>Analysis</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irtizaabbas05@gmail.com</dc:creator>
  <cp:lastModifiedBy>irtizaabbas05@gmail.com</cp:lastModifiedBy>
  <dcterms:created xsi:type="dcterms:W3CDTF">2026-05-23T18:47:57Z</dcterms:created>
  <dcterms:modified xsi:type="dcterms:W3CDTF">2026-05-26T23:13:40Z</dcterms:modified>
</cp:coreProperties>
</file>