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C788CF6-63BB-4DD4-8D72-AD3555A53B19}" xr6:coauthVersionLast="47" xr6:coauthVersionMax="47" xr10:uidLastSave="{00000000-0000-0000-0000-000000000000}"/>
  <bookViews>
    <workbookView xWindow="-110" yWindow="-110" windowWidth="19420" windowHeight="10420" xr2:uid="{089CB3F3-BFC7-4582-8ADB-26B5B9D39693}"/>
  </bookViews>
  <sheets>
    <sheet name="Data" sheetId="3" r:id="rId1"/>
    <sheet name="DataAnalysis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2" i="3"/>
  <c r="D20" i="3" s="1"/>
</calcChain>
</file>

<file path=xl/sharedStrings.xml><?xml version="1.0" encoding="utf-8"?>
<sst xmlns="http://schemas.openxmlformats.org/spreadsheetml/2006/main" count="120" uniqueCount="50">
  <si>
    <t>Transaction_ID</t>
  </si>
  <si>
    <t>Date</t>
  </si>
  <si>
    <t>Product_Category</t>
  </si>
  <si>
    <t>Product_Name</t>
  </si>
  <si>
    <t>Units_Sold</t>
  </si>
  <si>
    <t>Unit_Price</t>
  </si>
  <si>
    <t>Region</t>
  </si>
  <si>
    <t>Customer_Type</t>
  </si>
  <si>
    <t>Return_Status</t>
  </si>
  <si>
    <t>T1001</t>
  </si>
  <si>
    <t>Furniture</t>
  </si>
  <si>
    <t>ErgoChair Pro</t>
  </si>
  <si>
    <t>North America</t>
  </si>
  <si>
    <t>Corporate</t>
  </si>
  <si>
    <t>No</t>
  </si>
  <si>
    <t>T1002</t>
  </si>
  <si>
    <t>Accessories</t>
  </si>
  <si>
    <t>Monitor Arm Dual</t>
  </si>
  <si>
    <t>Europe</t>
  </si>
  <si>
    <t>Consumer</t>
  </si>
  <si>
    <t>T1003</t>
  </si>
  <si>
    <t>Electronics</t>
  </si>
  <si>
    <t>USB-C Docking Station</t>
  </si>
  <si>
    <t>Yes</t>
  </si>
  <si>
    <t>T1004</t>
  </si>
  <si>
    <t>Standing Desk V2</t>
  </si>
  <si>
    <t>Asia</t>
  </si>
  <si>
    <t>T1005</t>
  </si>
  <si>
    <t>Mechanical Keyboard</t>
  </si>
  <si>
    <t>T1006</t>
  </si>
  <si>
    <t>T1007</t>
  </si>
  <si>
    <t>T1008</t>
  </si>
  <si>
    <t>T1009</t>
  </si>
  <si>
    <t>T1010</t>
  </si>
  <si>
    <t>Webcam 4K</t>
  </si>
  <si>
    <t>T1011</t>
  </si>
  <si>
    <t>T1012</t>
  </si>
  <si>
    <t>T1013</t>
  </si>
  <si>
    <t>T1014</t>
  </si>
  <si>
    <t>T1015</t>
  </si>
  <si>
    <t>T1016</t>
  </si>
  <si>
    <t>Grand Total</t>
  </si>
  <si>
    <t>Sum of Total Revenue</t>
  </si>
  <si>
    <t>Total Revenue Per Region</t>
  </si>
  <si>
    <t>Jan</t>
  </si>
  <si>
    <t>Feb</t>
  </si>
  <si>
    <t>Mar</t>
  </si>
  <si>
    <t>High Buying Customer</t>
  </si>
  <si>
    <t>Total Revenue: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</si>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</sst>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dd\-mm\-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  <font>
      <b/>
      <sz val="11"/>
      <color rgb="FF1F1F1F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0" xfId="0" applyFont="1"/>
    <xf numFmtId="164" fontId="3" fillId="0" borderId="1" xfId="1" applyNumberFormat="1" applyFont="1" applyBorder="1" applyAlignment="1">
      <alignment horizontal="left" vertical="center" wrapText="1" indent="1" readingOrder="1"/>
    </xf>
    <xf numFmtId="165" fontId="3" fillId="0" borderId="1" xfId="0" applyNumberFormat="1" applyFont="1" applyBorder="1" applyAlignment="1">
      <alignment horizontal="left" vertical="center" wrapText="1" indent="1" readingOrder="1"/>
    </xf>
    <xf numFmtId="164" fontId="0" fillId="0" borderId="0" xfId="0" applyNumberFormat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2"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4.xlsx]DataAnalysis!PivotTable1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DataAnalysis!$A$4:$A$7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Asia</c:v>
                </c:pt>
              </c:strCache>
            </c:strRef>
          </c:cat>
          <c:val>
            <c:numRef>
              <c:f>DataAnalysis!$B$4:$B$7</c:f>
              <c:numCache>
                <c:formatCode>_("$"* #,##0_);_("$"* \(#,##0\);_("$"* "-"??_);_(@_)</c:formatCode>
                <c:ptCount val="3"/>
                <c:pt idx="0">
                  <c:v>39450</c:v>
                </c:pt>
                <c:pt idx="1">
                  <c:v>12850</c:v>
                </c:pt>
                <c:pt idx="2">
                  <c:v>11050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2-4940-9C11-D864809DF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73023"/>
        <c:axId val="61573503"/>
      </c:barChart>
      <c:catAx>
        <c:axId val="6157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73503"/>
        <c:crosses val="autoZero"/>
        <c:auto val="1"/>
        <c:lblAlgn val="ctr"/>
        <c:lblOffset val="100"/>
        <c:noMultiLvlLbl val="0"/>
      </c:catAx>
      <c:valAx>
        <c:axId val="6157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7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4.xlsx]DataAnalysis!PivotTable2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DataAnalysis!$F$3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17-4E75-B5F3-F7E140EED5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17-4E75-B5F3-F7E140EED5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17-4E75-B5F3-F7E140EED52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DataAnalysis!$E$4:$E$7</c:f>
              <c:strCache>
                <c:ptCount val="3"/>
                <c:pt idx="0">
                  <c:v>Mar</c:v>
                </c:pt>
                <c:pt idx="1">
                  <c:v>Jan</c:v>
                </c:pt>
                <c:pt idx="2">
                  <c:v>Feb</c:v>
                </c:pt>
              </c:strCache>
            </c:strRef>
          </c:cat>
          <c:val>
            <c:numRef>
              <c:f>DataAnalysis!$F$4:$F$7</c:f>
              <c:numCache>
                <c:formatCode>_("$"* #,##0_);_("$"* \(#,##0\);_("$"* "-"??_);_(@_)</c:formatCode>
                <c:ptCount val="3"/>
                <c:pt idx="0">
                  <c:v>21950</c:v>
                </c:pt>
                <c:pt idx="1">
                  <c:v>20700</c:v>
                </c:pt>
                <c:pt idx="2">
                  <c:v>20700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A-430E-A2B0-81B37436BCD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10584</xdr:rowOff>
    </xdr:from>
    <xdr:to>
      <xdr:col>3</xdr:col>
      <xdr:colOff>185208</xdr:colOff>
      <xdr:row>16</xdr:row>
      <xdr:rowOff>158751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868953-5C80-9809-2441-66C78D111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</xdr:row>
      <xdr:rowOff>10583</xdr:rowOff>
    </xdr:from>
    <xdr:to>
      <xdr:col>5</xdr:col>
      <xdr:colOff>1307041</xdr:colOff>
      <xdr:row>16</xdr:row>
      <xdr:rowOff>153459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CE59E3-0189-00FA-E796-E664705FE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BAS" refreshedDate="46137.285527314816" createdVersion="8" refreshedVersion="8" minRefreshableVersion="3" recordCount="16" xr:uid="{AAEC9432-C63A-4E5B-B2A7-24075AFD2B53}">
  <cacheSource type="worksheet">
    <worksheetSource ref="A1:K17" sheet="Data"/>
  </cacheSource>
  <cacheFields count="12">
    <cacheField name="Transaction_ID" numFmtId="0">
      <sharedItems/>
    </cacheField>
    <cacheField name="Date" numFmtId="165">
      <sharedItems containsSemiMixedTypes="0" containsNonDate="0" containsDate="1" containsString="0" minDate="2026-01-05T00:00:00" maxDate="2026-03-29T00:00:00" count="16">
        <d v="2026-01-05T00:00:00"/>
        <d v="2026-01-07T00:00:00"/>
        <d v="2026-01-10T00:00:00"/>
        <d v="2026-01-15T00:00:00"/>
        <d v="2026-01-20T00:00:00"/>
        <d v="2026-02-02T00:00:00"/>
        <d v="2026-02-10T00:00:00"/>
        <d v="2026-02-14T00:00:00"/>
        <d v="2026-02-18T00:00:00"/>
        <d v="2026-02-25T00:00:00"/>
        <d v="2026-03-01T00:00:00"/>
        <d v="2026-03-05T00:00:00"/>
        <d v="2026-03-12T00:00:00"/>
        <d v="2026-03-15T00:00:00"/>
        <d v="2026-03-22T00:00:00"/>
        <d v="2026-03-28T00:00:00"/>
      </sharedItems>
      <fieldGroup par="11"/>
    </cacheField>
    <cacheField name="Product_Category" numFmtId="0">
      <sharedItems/>
    </cacheField>
    <cacheField name="Product_Name" numFmtId="0">
      <sharedItems/>
    </cacheField>
    <cacheField name="Units_Sold" numFmtId="164">
      <sharedItems containsSemiMixedTypes="0" containsString="0" containsNumber="1" containsInteger="1" minValue="5" maxValue="50"/>
    </cacheField>
    <cacheField name="Unit_Price" numFmtId="164">
      <sharedItems containsSemiMixedTypes="0" containsString="0" containsNumber="1" containsInteger="1" minValue="90" maxValue="650"/>
    </cacheField>
    <cacheField name="Total Revenue" numFmtId="164">
      <sharedItems containsSemiMixedTypes="0" containsString="0" containsNumber="1" containsInteger="1" minValue="1200" maxValue="8000"/>
    </cacheField>
    <cacheField name="Region" numFmtId="0">
      <sharedItems count="3">
        <s v="North America"/>
        <s v="Europe"/>
        <s v="Asia"/>
      </sharedItems>
    </cacheField>
    <cacheField name="Customer_Type" numFmtId="0">
      <sharedItems/>
    </cacheField>
    <cacheField name="Return_Status" numFmtId="0">
      <sharedItems/>
    </cacheField>
    <cacheField name="Days (Date)" numFmtId="0" databaseField="0">
      <fieldGroup base="1">
        <rangePr groupBy="days" startDate="2026-01-05T00:00:00" endDate="2026-03-29T00:00:00"/>
        <groupItems count="368">
          <s v="&lt;1/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29/2026"/>
        </groupItems>
      </fieldGroup>
    </cacheField>
    <cacheField name="Months (Date)" numFmtId="0" databaseField="0">
      <fieldGroup base="1">
        <rangePr groupBy="months" startDate="2026-01-05T00:00:00" endDate="2026-03-29T00:00:00"/>
        <groupItems count="14">
          <s v="&lt;1/5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T1001"/>
    <x v="0"/>
    <s v="Furniture"/>
    <s v="ErgoChair Pro"/>
    <n v="12"/>
    <n v="350"/>
    <n v="4200"/>
    <x v="0"/>
    <s v="Corporate"/>
    <s v="No"/>
  </r>
  <r>
    <s v="T1002"/>
    <x v="1"/>
    <s v="Accessories"/>
    <s v="Monitor Arm Dual"/>
    <n v="25"/>
    <n v="120"/>
    <n v="3000"/>
    <x v="1"/>
    <s v="Consumer"/>
    <s v="No"/>
  </r>
  <r>
    <s v="T1003"/>
    <x v="2"/>
    <s v="Electronics"/>
    <s v="USB-C Docking Station"/>
    <n v="40"/>
    <n v="200"/>
    <n v="8000"/>
    <x v="0"/>
    <s v="Consumer"/>
    <s v="Yes"/>
  </r>
  <r>
    <s v="T1004"/>
    <x v="3"/>
    <s v="Furniture"/>
    <s v="Standing Desk V2"/>
    <n v="5"/>
    <n v="650"/>
    <n v="3250"/>
    <x v="2"/>
    <s v="Corporate"/>
    <s v="No"/>
  </r>
  <r>
    <s v="T1005"/>
    <x v="4"/>
    <s v="Accessories"/>
    <s v="Mechanical Keyboard"/>
    <n v="15"/>
    <n v="150"/>
    <n v="2250"/>
    <x v="1"/>
    <s v="Consumer"/>
    <s v="No"/>
  </r>
  <r>
    <s v="T1006"/>
    <x v="5"/>
    <s v="Electronics"/>
    <s v="USB-C Docking Station"/>
    <n v="10"/>
    <n v="200"/>
    <n v="2000"/>
    <x v="0"/>
    <s v="Corporate"/>
    <s v="No"/>
  </r>
  <r>
    <s v="T1007"/>
    <x v="6"/>
    <s v="Furniture"/>
    <s v="ErgoChair Pro"/>
    <n v="8"/>
    <n v="350"/>
    <n v="2800"/>
    <x v="1"/>
    <s v="Corporate"/>
    <s v="No"/>
  </r>
  <r>
    <s v="T1008"/>
    <x v="7"/>
    <s v="Accessories"/>
    <s v="Monitor Arm Dual"/>
    <n v="30"/>
    <n v="120"/>
    <n v="3600"/>
    <x v="0"/>
    <s v="Consumer"/>
    <s v="No"/>
  </r>
  <r>
    <s v="T1009"/>
    <x v="8"/>
    <s v="Furniture"/>
    <s v="Standing Desk V2"/>
    <n v="12"/>
    <n v="650"/>
    <n v="7800"/>
    <x v="0"/>
    <s v="Corporate"/>
    <s v="No"/>
  </r>
  <r>
    <s v="T1010"/>
    <x v="9"/>
    <s v="Electronics"/>
    <s v="Webcam 4K"/>
    <n v="50"/>
    <n v="90"/>
    <n v="4500"/>
    <x v="2"/>
    <s v="Consumer"/>
    <s v="No"/>
  </r>
  <r>
    <s v="T1011"/>
    <x v="10"/>
    <s v="Furniture"/>
    <s v="ErgoChair Pro"/>
    <n v="15"/>
    <n v="350"/>
    <n v="5250"/>
    <x v="0"/>
    <s v="Corporate"/>
    <s v="Yes"/>
  </r>
  <r>
    <s v="T1012"/>
    <x v="11"/>
    <s v="Accessories"/>
    <s v="Mechanical Keyboard"/>
    <n v="22"/>
    <n v="150"/>
    <n v="3300"/>
    <x v="2"/>
    <s v="Consumer"/>
    <s v="No"/>
  </r>
  <r>
    <s v="T1013"/>
    <x v="12"/>
    <s v="Electronics"/>
    <s v="USB-C Docking Station"/>
    <n v="18"/>
    <n v="200"/>
    <n v="3600"/>
    <x v="1"/>
    <s v="Corporate"/>
    <s v="No"/>
  </r>
  <r>
    <s v="T1014"/>
    <x v="13"/>
    <s v="Furniture"/>
    <s v="Standing Desk V2"/>
    <n v="7"/>
    <n v="650"/>
    <n v="4550"/>
    <x v="0"/>
    <s v="Consumer"/>
    <s v="No"/>
  </r>
  <r>
    <s v="T1015"/>
    <x v="14"/>
    <s v="Accessories"/>
    <s v="Monitor Arm Dual"/>
    <n v="10"/>
    <n v="120"/>
    <n v="1200"/>
    <x v="1"/>
    <s v="Corporate"/>
    <s v="No"/>
  </r>
  <r>
    <s v="T1016"/>
    <x v="15"/>
    <s v="Electronics"/>
    <s v="Webcam 4K"/>
    <n v="45"/>
    <n v="90"/>
    <n v="4050"/>
    <x v="0"/>
    <s v="Consumer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7FE93-4779-4E1E-A920-68923C50230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E3:F7" firstHeaderRow="1" firstDataRow="1" firstDataCol="1"/>
  <pivotFields count="12">
    <pivotField showAll="0"/>
    <pivotField axis="axisRow" numFmtId="165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numFmtId="164" showAll="0"/>
    <pivotField numFmtId="164" showAll="0"/>
    <pivotField dataField="1" numFmtId="164"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1"/>
    <field x="1"/>
  </rowFields>
  <rowItems count="4">
    <i>
      <x v="3"/>
    </i>
    <i>
      <x v="1"/>
    </i>
    <i>
      <x v="2"/>
    </i>
    <i t="grand">
      <x/>
    </i>
  </rowItems>
  <colItems count="1">
    <i/>
  </colItems>
  <dataFields count="1">
    <dataField name="Sum of Total Revenue" fld="6" baseField="0" baseItem="0"/>
  </dataFields>
  <formats count="1">
    <format dxfId="0">
      <pivotArea outline="0" collapsedLevelsAreSubtotals="1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A6159-D3BC-48E9-A899-C059835F1B5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gion">
  <location ref="A3:B7" firstHeaderRow="1" firstDataRow="1" firstDataCol="1"/>
  <pivotFields count="12">
    <pivotField showAll="0"/>
    <pivotField numFmtId="165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numFmtId="164" showAll="0"/>
    <pivotField numFmtId="164" showAll="0"/>
    <pivotField dataField="1" numFmtId="164"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Total Revenue Per Region" fld="6" baseField="7" baseItem="0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7511-94C8-44C2-83D1-3EB4A1F44DF0}">
  <dimension ref="A1:K20"/>
  <sheetViews>
    <sheetView tabSelected="1" zoomScale="110" zoomScaleNormal="110" workbookViewId="0">
      <selection activeCell="K4" sqref="K4"/>
    </sheetView>
  </sheetViews>
  <sheetFormatPr defaultRowHeight="14.5" x14ac:dyDescent="0.35"/>
  <cols>
    <col min="1" max="1" width="14.90625" bestFit="1" customWidth="1"/>
    <col min="2" max="2" width="11.1796875" bestFit="1" customWidth="1"/>
    <col min="3" max="3" width="17.453125" bestFit="1" customWidth="1"/>
    <col min="4" max="4" width="15.90625" bestFit="1" customWidth="1"/>
    <col min="5" max="5" width="11.26953125" bestFit="1" customWidth="1"/>
    <col min="6" max="6" width="10.7265625" bestFit="1" customWidth="1"/>
    <col min="7" max="7" width="9.1796875" bestFit="1" customWidth="1"/>
    <col min="8" max="8" width="13.6328125" bestFit="1" customWidth="1"/>
    <col min="9" max="9" width="15.453125" bestFit="1" customWidth="1"/>
    <col min="10" max="10" width="20.81640625" bestFit="1" customWidth="1"/>
    <col min="11" max="11" width="13.08984375" bestFit="1" customWidth="1"/>
  </cols>
  <sheetData>
    <row r="1" spans="1:11" s="6" customFormat="1" ht="21.5" customHeight="1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49</v>
      </c>
      <c r="H1" s="4" t="s">
        <v>6</v>
      </c>
      <c r="I1" s="4" t="s">
        <v>7</v>
      </c>
      <c r="J1" s="4" t="s">
        <v>47</v>
      </c>
      <c r="K1" s="5" t="s">
        <v>8</v>
      </c>
    </row>
    <row r="2" spans="1:11" ht="15" thickBot="1" x14ac:dyDescent="0.4">
      <c r="A2" s="2" t="s">
        <v>9</v>
      </c>
      <c r="B2" s="8">
        <v>46027</v>
      </c>
      <c r="C2" s="2" t="s">
        <v>10</v>
      </c>
      <c r="D2" s="2" t="s">
        <v>11</v>
      </c>
      <c r="E2" s="7">
        <v>12</v>
      </c>
      <c r="F2" s="7">
        <v>350</v>
      </c>
      <c r="G2" s="7">
        <f>E2*F2</f>
        <v>4200</v>
      </c>
      <c r="H2" s="2" t="s">
        <v>12</v>
      </c>
      <c r="I2" s="2" t="s">
        <v>13</v>
      </c>
      <c r="J2" s="2" t="str">
        <f>IF(C2="Furniture", "Yes", "No")</f>
        <v>Yes</v>
      </c>
      <c r="K2" s="3" t="s">
        <v>14</v>
      </c>
    </row>
    <row r="3" spans="1:11" ht="15" thickBot="1" x14ac:dyDescent="0.4">
      <c r="A3" s="2" t="s">
        <v>15</v>
      </c>
      <c r="B3" s="8">
        <v>46029</v>
      </c>
      <c r="C3" s="2" t="s">
        <v>16</v>
      </c>
      <c r="D3" s="2" t="s">
        <v>17</v>
      </c>
      <c r="E3" s="7">
        <v>25</v>
      </c>
      <c r="F3" s="7">
        <v>120</v>
      </c>
      <c r="G3" s="7">
        <f t="shared" ref="G3:G17" si="0">E3*F3</f>
        <v>3000</v>
      </c>
      <c r="H3" s="2" t="s">
        <v>18</v>
      </c>
      <c r="I3" s="2" t="s">
        <v>19</v>
      </c>
      <c r="J3" s="2" t="str">
        <f t="shared" ref="J3:J17" si="1">IF(C3="Furniture", "Yes", "No")</f>
        <v>No</v>
      </c>
      <c r="K3" s="3" t="s">
        <v>14</v>
      </c>
    </row>
    <row r="4" spans="1:11" ht="29.5" thickBot="1" x14ac:dyDescent="0.4">
      <c r="A4" s="2" t="s">
        <v>20</v>
      </c>
      <c r="B4" s="8">
        <v>46032</v>
      </c>
      <c r="C4" s="2" t="s">
        <v>21</v>
      </c>
      <c r="D4" s="2" t="s">
        <v>22</v>
      </c>
      <c r="E4" s="7">
        <v>40</v>
      </c>
      <c r="F4" s="7">
        <v>200</v>
      </c>
      <c r="G4" s="7">
        <f t="shared" si="0"/>
        <v>8000</v>
      </c>
      <c r="H4" s="2" t="s">
        <v>12</v>
      </c>
      <c r="I4" s="2" t="s">
        <v>19</v>
      </c>
      <c r="J4" s="2" t="str">
        <f t="shared" si="1"/>
        <v>No</v>
      </c>
      <c r="K4" s="3" t="s">
        <v>23</v>
      </c>
    </row>
    <row r="5" spans="1:11" ht="15" thickBot="1" x14ac:dyDescent="0.4">
      <c r="A5" s="2" t="s">
        <v>24</v>
      </c>
      <c r="B5" s="8">
        <v>46037</v>
      </c>
      <c r="C5" s="2" t="s">
        <v>10</v>
      </c>
      <c r="D5" s="2" t="s">
        <v>25</v>
      </c>
      <c r="E5" s="7">
        <v>5</v>
      </c>
      <c r="F5" s="7">
        <v>650</v>
      </c>
      <c r="G5" s="7">
        <f t="shared" si="0"/>
        <v>3250</v>
      </c>
      <c r="H5" s="2" t="s">
        <v>26</v>
      </c>
      <c r="I5" s="2" t="s">
        <v>13</v>
      </c>
      <c r="J5" s="2" t="str">
        <f t="shared" si="1"/>
        <v>Yes</v>
      </c>
      <c r="K5" s="3" t="s">
        <v>14</v>
      </c>
    </row>
    <row r="6" spans="1:11" ht="29.5" thickBot="1" x14ac:dyDescent="0.4">
      <c r="A6" s="2" t="s">
        <v>27</v>
      </c>
      <c r="B6" s="8">
        <v>46042</v>
      </c>
      <c r="C6" s="2" t="s">
        <v>16</v>
      </c>
      <c r="D6" s="2" t="s">
        <v>28</v>
      </c>
      <c r="E6" s="7">
        <v>15</v>
      </c>
      <c r="F6" s="7">
        <v>150</v>
      </c>
      <c r="G6" s="7">
        <f t="shared" si="0"/>
        <v>2250</v>
      </c>
      <c r="H6" s="2" t="s">
        <v>18</v>
      </c>
      <c r="I6" s="2" t="s">
        <v>19</v>
      </c>
      <c r="J6" s="2" t="str">
        <f t="shared" si="1"/>
        <v>No</v>
      </c>
      <c r="K6" s="3" t="s">
        <v>14</v>
      </c>
    </row>
    <row r="7" spans="1:11" ht="29.5" thickBot="1" x14ac:dyDescent="0.4">
      <c r="A7" s="2" t="s">
        <v>29</v>
      </c>
      <c r="B7" s="8">
        <v>46055</v>
      </c>
      <c r="C7" s="2" t="s">
        <v>21</v>
      </c>
      <c r="D7" s="2" t="s">
        <v>22</v>
      </c>
      <c r="E7" s="7">
        <v>10</v>
      </c>
      <c r="F7" s="7">
        <v>200</v>
      </c>
      <c r="G7" s="7">
        <f t="shared" si="0"/>
        <v>2000</v>
      </c>
      <c r="H7" s="2" t="s">
        <v>12</v>
      </c>
      <c r="I7" s="2" t="s">
        <v>13</v>
      </c>
      <c r="J7" s="2" t="str">
        <f t="shared" si="1"/>
        <v>No</v>
      </c>
      <c r="K7" s="3" t="s">
        <v>14</v>
      </c>
    </row>
    <row r="8" spans="1:11" ht="15" thickBot="1" x14ac:dyDescent="0.4">
      <c r="A8" s="2" t="s">
        <v>30</v>
      </c>
      <c r="B8" s="8">
        <v>46063</v>
      </c>
      <c r="C8" s="2" t="s">
        <v>10</v>
      </c>
      <c r="D8" s="2" t="s">
        <v>11</v>
      </c>
      <c r="E8" s="7">
        <v>8</v>
      </c>
      <c r="F8" s="7">
        <v>350</v>
      </c>
      <c r="G8" s="7">
        <f t="shared" si="0"/>
        <v>2800</v>
      </c>
      <c r="H8" s="2" t="s">
        <v>18</v>
      </c>
      <c r="I8" s="2" t="s">
        <v>13</v>
      </c>
      <c r="J8" s="2" t="str">
        <f t="shared" si="1"/>
        <v>Yes</v>
      </c>
      <c r="K8" s="3" t="s">
        <v>14</v>
      </c>
    </row>
    <row r="9" spans="1:11" ht="15" thickBot="1" x14ac:dyDescent="0.4">
      <c r="A9" s="2" t="s">
        <v>31</v>
      </c>
      <c r="B9" s="8">
        <v>46067</v>
      </c>
      <c r="C9" s="2" t="s">
        <v>16</v>
      </c>
      <c r="D9" s="2" t="s">
        <v>17</v>
      </c>
      <c r="E9" s="7">
        <v>30</v>
      </c>
      <c r="F9" s="7">
        <v>120</v>
      </c>
      <c r="G9" s="7">
        <f t="shared" si="0"/>
        <v>3600</v>
      </c>
      <c r="H9" s="2" t="s">
        <v>12</v>
      </c>
      <c r="I9" s="2" t="s">
        <v>19</v>
      </c>
      <c r="J9" s="2" t="str">
        <f t="shared" si="1"/>
        <v>No</v>
      </c>
      <c r="K9" s="3" t="s">
        <v>14</v>
      </c>
    </row>
    <row r="10" spans="1:11" ht="15" thickBot="1" x14ac:dyDescent="0.4">
      <c r="A10" s="2" t="s">
        <v>32</v>
      </c>
      <c r="B10" s="8">
        <v>46071</v>
      </c>
      <c r="C10" s="2" t="s">
        <v>10</v>
      </c>
      <c r="D10" s="2" t="s">
        <v>25</v>
      </c>
      <c r="E10" s="7">
        <v>12</v>
      </c>
      <c r="F10" s="7">
        <v>650</v>
      </c>
      <c r="G10" s="7">
        <f t="shared" si="0"/>
        <v>7800</v>
      </c>
      <c r="H10" s="2" t="s">
        <v>12</v>
      </c>
      <c r="I10" s="2" t="s">
        <v>13</v>
      </c>
      <c r="J10" s="2" t="str">
        <f t="shared" si="1"/>
        <v>Yes</v>
      </c>
      <c r="K10" s="3" t="s">
        <v>14</v>
      </c>
    </row>
    <row r="11" spans="1:11" ht="15" thickBot="1" x14ac:dyDescent="0.4">
      <c r="A11" s="2" t="s">
        <v>33</v>
      </c>
      <c r="B11" s="8">
        <v>46078</v>
      </c>
      <c r="C11" s="2" t="s">
        <v>21</v>
      </c>
      <c r="D11" s="2" t="s">
        <v>34</v>
      </c>
      <c r="E11" s="7">
        <v>50</v>
      </c>
      <c r="F11" s="7">
        <v>90</v>
      </c>
      <c r="G11" s="7">
        <f t="shared" si="0"/>
        <v>4500</v>
      </c>
      <c r="H11" s="2" t="s">
        <v>26</v>
      </c>
      <c r="I11" s="2" t="s">
        <v>19</v>
      </c>
      <c r="J11" s="2" t="str">
        <f t="shared" si="1"/>
        <v>No</v>
      </c>
      <c r="K11" s="3" t="s">
        <v>14</v>
      </c>
    </row>
    <row r="12" spans="1:11" ht="15" thickBot="1" x14ac:dyDescent="0.4">
      <c r="A12" s="2" t="s">
        <v>35</v>
      </c>
      <c r="B12" s="8">
        <v>46082</v>
      </c>
      <c r="C12" s="2" t="s">
        <v>10</v>
      </c>
      <c r="D12" s="2" t="s">
        <v>11</v>
      </c>
      <c r="E12" s="7">
        <v>15</v>
      </c>
      <c r="F12" s="7">
        <v>350</v>
      </c>
      <c r="G12" s="7">
        <f t="shared" si="0"/>
        <v>5250</v>
      </c>
      <c r="H12" s="2" t="s">
        <v>12</v>
      </c>
      <c r="I12" s="2" t="s">
        <v>13</v>
      </c>
      <c r="J12" s="2" t="str">
        <f t="shared" si="1"/>
        <v>Yes</v>
      </c>
      <c r="K12" s="3" t="s">
        <v>23</v>
      </c>
    </row>
    <row r="13" spans="1:11" ht="29.5" thickBot="1" x14ac:dyDescent="0.4">
      <c r="A13" s="2" t="s">
        <v>36</v>
      </c>
      <c r="B13" s="8">
        <v>46086</v>
      </c>
      <c r="C13" s="2" t="s">
        <v>16</v>
      </c>
      <c r="D13" s="2" t="s">
        <v>28</v>
      </c>
      <c r="E13" s="7">
        <v>22</v>
      </c>
      <c r="F13" s="7">
        <v>150</v>
      </c>
      <c r="G13" s="7">
        <f t="shared" si="0"/>
        <v>3300</v>
      </c>
      <c r="H13" s="2" t="s">
        <v>26</v>
      </c>
      <c r="I13" s="2" t="s">
        <v>19</v>
      </c>
      <c r="J13" s="2" t="str">
        <f t="shared" si="1"/>
        <v>No</v>
      </c>
      <c r="K13" s="3" t="s">
        <v>14</v>
      </c>
    </row>
    <row r="14" spans="1:11" ht="29.5" thickBot="1" x14ac:dyDescent="0.4">
      <c r="A14" s="2" t="s">
        <v>37</v>
      </c>
      <c r="B14" s="8">
        <v>46093</v>
      </c>
      <c r="C14" s="2" t="s">
        <v>21</v>
      </c>
      <c r="D14" s="2" t="s">
        <v>22</v>
      </c>
      <c r="E14" s="7">
        <v>18</v>
      </c>
      <c r="F14" s="7">
        <v>200</v>
      </c>
      <c r="G14" s="7">
        <f t="shared" si="0"/>
        <v>3600</v>
      </c>
      <c r="H14" s="2" t="s">
        <v>18</v>
      </c>
      <c r="I14" s="2" t="s">
        <v>13</v>
      </c>
      <c r="J14" s="2" t="str">
        <f t="shared" si="1"/>
        <v>No</v>
      </c>
      <c r="K14" s="3" t="s">
        <v>14</v>
      </c>
    </row>
    <row r="15" spans="1:11" ht="15" thickBot="1" x14ac:dyDescent="0.4">
      <c r="A15" s="2" t="s">
        <v>38</v>
      </c>
      <c r="B15" s="8">
        <v>46096</v>
      </c>
      <c r="C15" s="2" t="s">
        <v>10</v>
      </c>
      <c r="D15" s="2" t="s">
        <v>25</v>
      </c>
      <c r="E15" s="7">
        <v>7</v>
      </c>
      <c r="F15" s="7">
        <v>650</v>
      </c>
      <c r="G15" s="7">
        <f t="shared" si="0"/>
        <v>4550</v>
      </c>
      <c r="H15" s="2" t="s">
        <v>12</v>
      </c>
      <c r="I15" s="2" t="s">
        <v>19</v>
      </c>
      <c r="J15" s="2" t="str">
        <f t="shared" si="1"/>
        <v>Yes</v>
      </c>
      <c r="K15" s="3" t="s">
        <v>14</v>
      </c>
    </row>
    <row r="16" spans="1:11" ht="15" thickBot="1" x14ac:dyDescent="0.4">
      <c r="A16" s="2" t="s">
        <v>39</v>
      </c>
      <c r="B16" s="8">
        <v>46103</v>
      </c>
      <c r="C16" s="2" t="s">
        <v>16</v>
      </c>
      <c r="D16" s="2" t="s">
        <v>17</v>
      </c>
      <c r="E16" s="7">
        <v>10</v>
      </c>
      <c r="F16" s="7">
        <v>120</v>
      </c>
      <c r="G16" s="7">
        <f t="shared" si="0"/>
        <v>1200</v>
      </c>
      <c r="H16" s="2" t="s">
        <v>18</v>
      </c>
      <c r="I16" s="2" t="s">
        <v>13</v>
      </c>
      <c r="J16" s="2" t="str">
        <f t="shared" si="1"/>
        <v>No</v>
      </c>
      <c r="K16" s="3" t="s">
        <v>14</v>
      </c>
    </row>
    <row r="17" spans="1:11" ht="15" thickBot="1" x14ac:dyDescent="0.4">
      <c r="A17" s="2" t="s">
        <v>40</v>
      </c>
      <c r="B17" s="8">
        <v>46109</v>
      </c>
      <c r="C17" s="2" t="s">
        <v>21</v>
      </c>
      <c r="D17" s="2" t="s">
        <v>34</v>
      </c>
      <c r="E17" s="7">
        <v>45</v>
      </c>
      <c r="F17" s="7">
        <v>90</v>
      </c>
      <c r="G17" s="7">
        <f t="shared" si="0"/>
        <v>4050</v>
      </c>
      <c r="H17" s="2" t="s">
        <v>12</v>
      </c>
      <c r="I17" s="2" t="s">
        <v>19</v>
      </c>
      <c r="J17" s="2" t="str">
        <f t="shared" si="1"/>
        <v>No</v>
      </c>
      <c r="K17" s="3" t="s">
        <v>14</v>
      </c>
    </row>
    <row r="20" spans="1:11" x14ac:dyDescent="0.35">
      <c r="C20" s="1" t="s">
        <v>48</v>
      </c>
      <c r="D20" s="10">
        <f>SUM(G2:G17)</f>
        <v>63350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01A1-5832-4D27-95B2-DFA6683C87A5}">
  <dimension ref="A3:F7"/>
  <sheetViews>
    <sheetView zoomScale="120" zoomScaleNormal="120" workbookViewId="0">
      <selection activeCell="G5" sqref="G5"/>
    </sheetView>
  </sheetViews>
  <sheetFormatPr defaultRowHeight="14.5" x14ac:dyDescent="0.35"/>
  <cols>
    <col min="1" max="1" width="12.453125" bestFit="1" customWidth="1"/>
    <col min="2" max="2" width="22" bestFit="1" customWidth="1"/>
    <col min="5" max="5" width="10.36328125" bestFit="1" customWidth="1"/>
    <col min="6" max="6" width="18.90625" bestFit="1" customWidth="1"/>
  </cols>
  <sheetData>
    <row r="3" spans="1:6" x14ac:dyDescent="0.35">
      <c r="A3" s="11" t="s">
        <v>6</v>
      </c>
      <c r="B3" t="s">
        <v>43</v>
      </c>
      <c r="E3" s="11" t="s">
        <v>6</v>
      </c>
      <c r="F3" t="s">
        <v>42</v>
      </c>
    </row>
    <row r="4" spans="1:6" x14ac:dyDescent="0.35">
      <c r="A4" s="12" t="s">
        <v>12</v>
      </c>
      <c r="B4" s="9">
        <v>39450</v>
      </c>
      <c r="E4" s="12" t="s">
        <v>46</v>
      </c>
      <c r="F4" s="9">
        <v>21950</v>
      </c>
    </row>
    <row r="5" spans="1:6" x14ac:dyDescent="0.35">
      <c r="A5" s="12" t="s">
        <v>18</v>
      </c>
      <c r="B5" s="9">
        <v>12850</v>
      </c>
      <c r="E5" s="12" t="s">
        <v>44</v>
      </c>
      <c r="F5" s="9">
        <v>20700</v>
      </c>
    </row>
    <row r="6" spans="1:6" x14ac:dyDescent="0.35">
      <c r="A6" s="12" t="s">
        <v>26</v>
      </c>
      <c r="B6" s="9">
        <v>11050</v>
      </c>
      <c r="E6" s="12" t="s">
        <v>45</v>
      </c>
      <c r="F6" s="9">
        <v>20700</v>
      </c>
    </row>
    <row r="7" spans="1:6" x14ac:dyDescent="0.35">
      <c r="A7" s="12" t="s">
        <v>41</v>
      </c>
      <c r="B7" s="9">
        <v>63350</v>
      </c>
      <c r="E7" s="12" t="s">
        <v>41</v>
      </c>
      <c r="F7" s="9">
        <v>63350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irtizaabbas05@gmail.com</dc:creator>
  <cp:lastModifiedBy>irtizaabbas05@gmail.com</cp:lastModifiedBy>
  <dcterms:created xsi:type="dcterms:W3CDTF">2026-04-25T13:32:25Z</dcterms:created>
  <dcterms:modified xsi:type="dcterms:W3CDTF">2026-04-25T14:05:16Z</dcterms:modified>
</cp:coreProperties>
</file>