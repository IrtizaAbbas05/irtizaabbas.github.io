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Excel Practice\"/>
    </mc:Choice>
  </mc:AlternateContent>
  <xr:revisionPtr revIDLastSave="0" documentId="13_ncr:1_{D5622B64-F652-4ECD-8C72-7928049F5428}" xr6:coauthVersionLast="47" xr6:coauthVersionMax="47" xr10:uidLastSave="{00000000-0000-0000-0000-000000000000}"/>
  <bookViews>
    <workbookView xWindow="-110" yWindow="-110" windowWidth="19420" windowHeight="10420" activeTab="3" xr2:uid="{5CE92644-F0F4-42CB-B4C0-EC6CA7E3BD8C}"/>
  </bookViews>
  <sheets>
    <sheet name="Data" sheetId="1" r:id="rId1"/>
    <sheet name="Analysis" sheetId="2" r:id="rId2"/>
    <sheet name="KPIs" sheetId="3" r:id="rId3"/>
    <sheet name="Sheet1" sheetId="4" r:id="rId4"/>
  </sheets>
  <definedNames>
    <definedName name="Slicer_City">#N/A</definedName>
    <definedName name="Slicer_Product">#N/A</definedName>
    <definedName name="Slicer_Sales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<sst xmlns="http://schemas.openxmlformats.org/spreadsheetml/2006/main" count="337" uniqueCount="54">
  <si>
    <t>Order_ID</t>
  </si>
  <si>
    <t>Date</t>
  </si>
  <si>
    <t>Customer_Name</t>
  </si>
  <si>
    <t>City</t>
  </si>
  <si>
    <t>Salesperson</t>
  </si>
  <si>
    <t>Product</t>
  </si>
  <si>
    <t>Category</t>
  </si>
  <si>
    <t>Quantity</t>
  </si>
  <si>
    <t>Unit_Price</t>
  </si>
  <si>
    <t>Revenue</t>
  </si>
  <si>
    <t>Payment_Method</t>
  </si>
  <si>
    <t>Ali Khan</t>
  </si>
  <si>
    <t>Lahore</t>
  </si>
  <si>
    <t>Hamza</t>
  </si>
  <si>
    <t>Laptop</t>
  </si>
  <si>
    <t>Electronics</t>
  </si>
  <si>
    <t>Cash</t>
  </si>
  <si>
    <t>Sara Ahmed</t>
  </si>
  <si>
    <t>Karachi</t>
  </si>
  <si>
    <t>Bilal</t>
  </si>
  <si>
    <t>Mobile</t>
  </si>
  <si>
    <t>Card</t>
  </si>
  <si>
    <t>Ahmed Raza</t>
  </si>
  <si>
    <t>Islamabad</t>
  </si>
  <si>
    <t>Refrigerator</t>
  </si>
  <si>
    <t>Appliances</t>
  </si>
  <si>
    <t>Bank Transfer</t>
  </si>
  <si>
    <t>Hina Noor</t>
  </si>
  <si>
    <t>Usman</t>
  </si>
  <si>
    <t>Shirt</t>
  </si>
  <si>
    <t>Fashion</t>
  </si>
  <si>
    <t>Bilal Ahmed</t>
  </si>
  <si>
    <t>Faisalabad</t>
  </si>
  <si>
    <t>Shoes</t>
  </si>
  <si>
    <t>Ayesha Malik</t>
  </si>
  <si>
    <t>Umar Farooq</t>
  </si>
  <si>
    <t>Sana Ali</t>
  </si>
  <si>
    <t>Washing Machine</t>
  </si>
  <si>
    <t>13-01-2025</t>
  </si>
  <si>
    <t>14-01-2025</t>
  </si>
  <si>
    <t>15-01-2025</t>
  </si>
  <si>
    <t>16-01-2025</t>
  </si>
  <si>
    <t>17-01-2025</t>
  </si>
  <si>
    <t>18-01-2025</t>
  </si>
  <si>
    <t>19-01-2025</t>
  </si>
  <si>
    <t>20-01-2025</t>
  </si>
  <si>
    <t>Total revenue:</t>
  </si>
  <si>
    <t>Total Orders:</t>
  </si>
  <si>
    <t>Average Order Value:</t>
  </si>
  <si>
    <t>MOST USED METHOD</t>
  </si>
  <si>
    <t>KPIs Dashboard(Business Sales)</t>
  </si>
  <si>
    <t>Sum of Revenue</t>
  </si>
  <si>
    <t xml:space="preserve">Revenue </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</si>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</sst>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_-[$Rs-420]\ * #,##0_-;\-[$Rs-420]\ * #,##0_-;_-[$Rs-420]\ * &quot;-&quot;??_-;_-@_-"/>
  </numFmts>
  <fonts count="3" x14ac:knownFonts="1">
    <font>
      <sz val="11"/>
      <color theme="1"/>
      <name val="Aptos Narrow"/>
      <family val="2"/>
      <scheme val="minor"/>
    </font>
    <font>
      <b/>
      <sz val="11"/>
      <color theme="1"/>
      <name val="Aptos Narrow"/>
      <family val="2"/>
      <scheme val="minor"/>
    </font>
    <font>
      <sz val="36"/>
      <color theme="1"/>
      <name val="Aptos Narrow"/>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3" tint="0.89999084444715716"/>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14" fontId="0" fillId="0" borderId="0" xfId="0" applyNumberFormat="1"/>
    <xf numFmtId="0" fontId="1" fillId="0" borderId="0" xfId="0" applyFont="1"/>
    <xf numFmtId="0" fontId="1" fillId="0" borderId="1" xfId="0" applyFont="1" applyBorder="1"/>
    <xf numFmtId="0" fontId="0" fillId="0" borderId="1" xfId="0" applyBorder="1"/>
    <xf numFmtId="164" fontId="0" fillId="0" borderId="1" xfId="0" applyNumberFormat="1" applyBorder="1"/>
    <xf numFmtId="165" fontId="0" fillId="0" borderId="1" xfId="0" applyNumberFormat="1" applyBorder="1"/>
    <xf numFmtId="0" fontId="0" fillId="0" borderId="0" xfId="0" applyBorder="1"/>
    <xf numFmtId="0" fontId="1" fillId="0" borderId="0" xfId="0" applyFont="1" applyBorder="1"/>
    <xf numFmtId="165" fontId="0" fillId="0" borderId="0" xfId="0" applyNumberFormat="1" applyBorder="1"/>
    <xf numFmtId="165" fontId="1" fillId="0" borderId="1" xfId="0" applyNumberFormat="1" applyFont="1" applyBorder="1"/>
    <xf numFmtId="10" fontId="0" fillId="0" borderId="0" xfId="0" applyNumberFormat="1" applyBorder="1"/>
    <xf numFmtId="0" fontId="0" fillId="2" borderId="0" xfId="0" applyFill="1"/>
    <xf numFmtId="0" fontId="1" fillId="3" borderId="1" xfId="0" applyFont="1" applyFill="1" applyBorder="1"/>
    <xf numFmtId="0" fontId="0" fillId="3" borderId="1" xfId="0" applyFill="1" applyBorder="1"/>
    <xf numFmtId="165" fontId="0" fillId="3" borderId="1" xfId="0" applyNumberFormat="1" applyFill="1" applyBorder="1"/>
    <xf numFmtId="0" fontId="1" fillId="4" borderId="1" xfId="0" applyFont="1" applyFill="1" applyBorder="1"/>
    <xf numFmtId="0" fontId="0" fillId="4" borderId="1" xfId="0" applyFill="1" applyBorder="1"/>
    <xf numFmtId="165" fontId="0" fillId="4" borderId="1" xfId="0" applyNumberFormat="1" applyFill="1" applyBorder="1"/>
    <xf numFmtId="0" fontId="1" fillId="5" borderId="1" xfId="0" applyFont="1" applyFill="1" applyBorder="1"/>
    <xf numFmtId="165" fontId="0" fillId="5" borderId="1" xfId="0" applyNumberFormat="1" applyFill="1" applyBorder="1"/>
    <xf numFmtId="0" fontId="0" fillId="5" borderId="1" xfId="0" applyFill="1" applyBorder="1"/>
    <xf numFmtId="0" fontId="1" fillId="6" borderId="1" xfId="0" applyFont="1" applyFill="1" applyBorder="1"/>
    <xf numFmtId="0" fontId="0" fillId="6" borderId="1" xfId="0" applyFill="1" applyBorder="1"/>
    <xf numFmtId="165" fontId="0" fillId="6" borderId="1" xfId="0" applyNumberFormat="1" applyFill="1" applyBorder="1"/>
    <xf numFmtId="0" fontId="0" fillId="0" borderId="0" xfId="0" pivotButton="1"/>
    <xf numFmtId="0" fontId="0" fillId="0" borderId="0" xfId="0" applyAlignment="1">
      <alignment horizontal="left"/>
    </xf>
    <xf numFmtId="165" fontId="0" fillId="0" borderId="0" xfId="0" applyNumberFormat="1"/>
    <xf numFmtId="0" fontId="2" fillId="2" borderId="0" xfId="0" applyFont="1" applyFill="1" applyAlignment="1">
      <alignment horizontal="center" vertical="center"/>
    </xf>
  </cellXfs>
  <cellStyles count="1">
    <cellStyle name="Normal" xfId="0" builtinId="0"/>
  </cellStyles>
  <dxfs count="5">
    <dxf>
      <numFmt numFmtId="165" formatCode="_-[$Rs-420]\ * #,##0_-;\-[$Rs-420]\ * #,##0_-;_-[$Rs-420]\ * &quot;-&quot;??_-;_-@_-"/>
    </dxf>
    <dxf>
      <numFmt numFmtId="165" formatCode="_-[$Rs-420]\ * #,##0_-;\-[$Rs-420]\ * #,##0_-;_-[$Rs-420]\ * &quot;-&quot;??_-;_-@_-"/>
    </dxf>
    <dxf>
      <numFmt numFmtId="165" formatCode="_-[$Rs-420]\ * #,##0_-;\-[$Rs-420]\ * #,##0_-;_-[$Rs-420]\ * &quot;-&quot;??_-;_-@_-"/>
    </dxf>
    <dxf>
      <fill>
        <patternFill>
          <bgColor theme="5" tint="0.79998168889431442"/>
        </patternFill>
      </fill>
    </dxf>
    <dxf>
      <fill>
        <patternFill>
          <bgColor theme="0"/>
        </patternFill>
      </fill>
    </dxf>
  </dxfs>
  <tableStyles count="1" defaultTableStyle="TableStyleMedium2" defaultPivotStyle="PivotStyleLight16">
    <tableStyle name="Slicer Style 1" pivot="0" table="0" count="6" xr9:uid="{8DF0C3E9-F436-4B2B-80AB-8BF8F0ADA38F}">
      <tableStyleElement type="wholeTable" dxfId="4"/>
      <tableStyleElement type="headerRow" dxfId="3"/>
    </tableStyle>
  </tableStyles>
  <extLst>
    <ext xmlns:x14="http://schemas.microsoft.com/office/spreadsheetml/2009/9/main" uri="{46F421CA-312F-682f-3DD2-61675219B42D}">
      <x14:dxfs count="4">
        <dxf>
          <fill>
            <patternFill>
              <bgColor theme="0" tint="-0.14996795556505021"/>
            </patternFill>
          </fill>
        </dxf>
        <dxf>
          <fill>
            <patternFill>
              <bgColor theme="5"/>
            </patternFill>
          </fill>
        </dxf>
        <dxf>
          <fill>
            <patternFill>
              <bgColor theme="5" tint="-0.24994659260841701"/>
            </patternFill>
          </fill>
        </dxf>
        <dxf>
          <fill>
            <patternFill>
              <bgColor them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KPIs!$B$4</c:f>
              <c:strCache>
                <c:ptCount val="1"/>
              </c:strCache>
            </c:strRef>
          </c:tx>
          <c:spPr>
            <a:solidFill>
              <a:schemeClr val="accent1"/>
            </a:solidFill>
            <a:ln>
              <a:noFill/>
            </a:ln>
            <a:effectLst/>
          </c:spPr>
          <c:invertIfNegative val="0"/>
          <c:cat>
            <c:strRef>
              <c:f>KPIs!$A$5:$A$7</c:f>
              <c:strCache>
                <c:ptCount val="3"/>
                <c:pt idx="0">
                  <c:v>Laptop</c:v>
                </c:pt>
                <c:pt idx="1">
                  <c:v>Mobile</c:v>
                </c:pt>
                <c:pt idx="2">
                  <c:v>Refrigerator</c:v>
                </c:pt>
              </c:strCache>
            </c:strRef>
          </c:cat>
          <c:val>
            <c:numRef>
              <c:f>KPIs!$B$5:$B$7</c:f>
              <c:numCache>
                <c:formatCode>_-[$Rs-420]\ * #,##0_-;\-[$Rs-420]\ * #,##0_-;_-[$Rs-420]\ * "-"??_-;_-@_-</c:formatCode>
                <c:ptCount val="3"/>
                <c:pt idx="0">
                  <c:v>5100</c:v>
                </c:pt>
                <c:pt idx="1">
                  <c:v>3200</c:v>
                </c:pt>
                <c:pt idx="2">
                  <c:v>2400</c:v>
                </c:pt>
              </c:numCache>
            </c:numRef>
          </c:val>
          <c:extLst>
            <c:ext xmlns:c16="http://schemas.microsoft.com/office/drawing/2014/chart" uri="{C3380CC4-5D6E-409C-BE32-E72D297353CC}">
              <c16:uniqueId val="{00000000-0E84-458D-8684-4038E11C39B6}"/>
            </c:ext>
          </c:extLst>
        </c:ser>
        <c:dLbls>
          <c:showLegendKey val="0"/>
          <c:showVal val="0"/>
          <c:showCatName val="0"/>
          <c:showSerName val="0"/>
          <c:showPercent val="0"/>
          <c:showBubbleSize val="0"/>
        </c:dLbls>
        <c:gapWidth val="219"/>
        <c:overlap val="-27"/>
        <c:axId val="495426623"/>
        <c:axId val="495423263"/>
      </c:barChart>
      <c:catAx>
        <c:axId val="49542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423263"/>
        <c:crosses val="autoZero"/>
        <c:auto val="1"/>
        <c:lblAlgn val="ctr"/>
        <c:lblOffset val="100"/>
        <c:noMultiLvlLbl val="0"/>
      </c:catAx>
      <c:valAx>
        <c:axId val="495423263"/>
        <c:scaling>
          <c:orientation val="minMax"/>
        </c:scaling>
        <c:delete val="0"/>
        <c:axPos val="l"/>
        <c:majorGridlines>
          <c:spPr>
            <a:ln w="9525" cap="flat" cmpd="sng" algn="ctr">
              <a:solidFill>
                <a:schemeClr val="tx1">
                  <a:lumMod val="15000"/>
                  <a:lumOff val="85000"/>
                </a:schemeClr>
              </a:solidFill>
              <a:round/>
            </a:ln>
            <a:effectLst/>
          </c:spPr>
        </c:majorGridlines>
        <c:numFmt formatCode="_-[$Rs-420]\ * #,##0_-;\-[$Rs-420]\ * #,##0_-;_-[$Rs-420]\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4266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KPIs!$E$6</c:f>
              <c:strCache>
                <c:ptCount val="1"/>
                <c:pt idx="0">
                  <c:v>Electronics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13D-411B-93ED-D1BBAF2A9C61}"/>
              </c:ext>
            </c:extLst>
          </c:dPt>
          <c:dLbls>
            <c:spPr>
              <a:solidFill>
                <a:srgbClr val="FFC000"/>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KPIs!$F$6</c:f>
              <c:numCache>
                <c:formatCode>_-[$Rs-420]\ * #,##0_-;\-[$Rs-420]\ * #,##0_-;_-[$Rs-420]\ * "-"??_-;_-@_-</c:formatCode>
                <c:ptCount val="1"/>
                <c:pt idx="0">
                  <c:v>8300</c:v>
                </c:pt>
              </c:numCache>
            </c:numRef>
          </c:val>
          <c:extLst>
            <c:ext xmlns:c16="http://schemas.microsoft.com/office/drawing/2014/chart" uri="{C3380CC4-5D6E-409C-BE32-E72D297353CC}">
              <c16:uniqueId val="{00000000-7EFD-40B1-B39A-857839E56E96}"/>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KPIs!$J$3</c:f>
              <c:strCache>
                <c:ptCount val="1"/>
              </c:strCache>
            </c:strRef>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KPIs!$I$4:$I$7</c:f>
              <c:strCache>
                <c:ptCount val="4"/>
                <c:pt idx="0">
                  <c:v>Karachi</c:v>
                </c:pt>
                <c:pt idx="1">
                  <c:v>Lahore</c:v>
                </c:pt>
                <c:pt idx="2">
                  <c:v>Islamabad</c:v>
                </c:pt>
                <c:pt idx="3">
                  <c:v>Faisalabad</c:v>
                </c:pt>
              </c:strCache>
            </c:strRef>
          </c:cat>
          <c:val>
            <c:numRef>
              <c:f>KPIs!$J$4:$J$7</c:f>
              <c:numCache>
                <c:formatCode>_-[$Rs-420]\ * #,##0_-;\-[$Rs-420]\ * #,##0_-;_-[$Rs-420]\ * "-"??_-;_-@_-</c:formatCode>
                <c:ptCount val="4"/>
                <c:pt idx="0">
                  <c:v>4220</c:v>
                </c:pt>
                <c:pt idx="1">
                  <c:v>4055</c:v>
                </c:pt>
                <c:pt idx="2">
                  <c:v>3960</c:v>
                </c:pt>
                <c:pt idx="3">
                  <c:v>1365</c:v>
                </c:pt>
              </c:numCache>
            </c:numRef>
          </c:val>
          <c:extLst>
            <c:ext xmlns:c16="http://schemas.microsoft.com/office/drawing/2014/chart" uri="{C3380CC4-5D6E-409C-BE32-E72D297353CC}">
              <c16:uniqueId val="{00000000-410E-47D4-809C-81F9351A8FA3}"/>
            </c:ext>
          </c:extLst>
        </c:ser>
        <c:dLbls>
          <c:showLegendKey val="0"/>
          <c:showVal val="0"/>
          <c:showCatName val="0"/>
          <c:showSerName val="0"/>
          <c:showPercent val="0"/>
          <c:showBubbleSize val="0"/>
        </c:dLbls>
        <c:gapWidth val="182"/>
        <c:axId val="806866159"/>
        <c:axId val="806868559"/>
      </c:barChart>
      <c:catAx>
        <c:axId val="806866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868559"/>
        <c:crosses val="autoZero"/>
        <c:auto val="1"/>
        <c:lblAlgn val="ctr"/>
        <c:lblOffset val="100"/>
        <c:noMultiLvlLbl val="0"/>
      </c:catAx>
      <c:valAx>
        <c:axId val="806868559"/>
        <c:scaling>
          <c:orientation val="minMax"/>
        </c:scaling>
        <c:delete val="1"/>
        <c:axPos val="b"/>
        <c:majorGridlines>
          <c:spPr>
            <a:ln w="9525" cap="flat" cmpd="sng" algn="ctr">
              <a:solidFill>
                <a:schemeClr val="tx1">
                  <a:lumMod val="15000"/>
                  <a:lumOff val="85000"/>
                </a:schemeClr>
              </a:solidFill>
              <a:round/>
            </a:ln>
            <a:effectLst/>
          </c:spPr>
        </c:majorGridlines>
        <c:numFmt formatCode="_-[$Rs-420]\ * #,##0_-;\-[$Rs-420]\ * #,##0_-;_-[$Rs-420]\ * &quot;-&quot;??_-;_-@_-" sourceLinked="1"/>
        <c:majorTickMark val="none"/>
        <c:minorTickMark val="none"/>
        <c:tickLblPos val="nextTo"/>
        <c:crossAx val="806866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KPIs!$B$22</c:f>
              <c:strCache>
                <c:ptCount val="1"/>
              </c:strCache>
            </c:strRef>
          </c:tx>
          <c:spPr>
            <a:solidFill>
              <a:schemeClr val="accent1"/>
            </a:solidFill>
            <a:ln>
              <a:noFill/>
            </a:ln>
            <a:effectLst/>
          </c:spPr>
          <c:invertIfNegative val="0"/>
          <c:cat>
            <c:strRef>
              <c:f>KPIs!$A$23:$A$25</c:f>
              <c:strCache>
                <c:ptCount val="3"/>
                <c:pt idx="0">
                  <c:v>Hamza</c:v>
                </c:pt>
                <c:pt idx="1">
                  <c:v>Bilal</c:v>
                </c:pt>
                <c:pt idx="2">
                  <c:v>Usman</c:v>
                </c:pt>
              </c:strCache>
            </c:strRef>
          </c:cat>
          <c:val>
            <c:numRef>
              <c:f>KPIs!$B$23:$B$25</c:f>
              <c:numCache>
                <c:formatCode>_-[$Rs-420]\ * #,##0_-;\-[$Rs-420]\ * #,##0_-;_-[$Rs-420]\ * "-"??_-;_-@_-</c:formatCode>
                <c:ptCount val="3"/>
                <c:pt idx="0">
                  <c:v>6940</c:v>
                </c:pt>
                <c:pt idx="1">
                  <c:v>2330</c:v>
                </c:pt>
                <c:pt idx="2">
                  <c:v>4330</c:v>
                </c:pt>
              </c:numCache>
            </c:numRef>
          </c:val>
          <c:extLst>
            <c:ext xmlns:c16="http://schemas.microsoft.com/office/drawing/2014/chart" uri="{C3380CC4-5D6E-409C-BE32-E72D297353CC}">
              <c16:uniqueId val="{00000000-EE94-4C4F-A037-FC2634A0959D}"/>
            </c:ext>
          </c:extLst>
        </c:ser>
        <c:dLbls>
          <c:showLegendKey val="0"/>
          <c:showVal val="0"/>
          <c:showCatName val="0"/>
          <c:showSerName val="0"/>
          <c:showPercent val="0"/>
          <c:showBubbleSize val="0"/>
        </c:dLbls>
        <c:gapWidth val="219"/>
        <c:overlap val="-27"/>
        <c:axId val="756250255"/>
        <c:axId val="756254575"/>
      </c:barChart>
      <c:catAx>
        <c:axId val="75625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54575"/>
        <c:crosses val="autoZero"/>
        <c:auto val="1"/>
        <c:lblAlgn val="ctr"/>
        <c:lblOffset val="100"/>
        <c:noMultiLvlLbl val="0"/>
      </c:catAx>
      <c:valAx>
        <c:axId val="756254575"/>
        <c:scaling>
          <c:orientation val="minMax"/>
        </c:scaling>
        <c:delete val="0"/>
        <c:axPos val="l"/>
        <c:majorGridlines>
          <c:spPr>
            <a:ln w="9525" cap="flat" cmpd="sng" algn="ctr">
              <a:solidFill>
                <a:schemeClr val="tx1">
                  <a:lumMod val="15000"/>
                  <a:lumOff val="85000"/>
                </a:schemeClr>
              </a:solidFill>
              <a:round/>
            </a:ln>
            <a:effectLst/>
          </c:spPr>
        </c:majorGridlines>
        <c:numFmt formatCode="_-[$Rs-420]\ * #,##0_-;\-[$Rs-420]\ * #,##0_-;_-[$Rs-420]\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50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of Product</a:t>
            </a:r>
          </a:p>
        </c:rich>
      </c:tx>
      <c:overlay val="0"/>
      <c:spPr>
        <a:solidFill>
          <a:schemeClr val="accent6">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c:f>
              <c:strCache>
                <c:ptCount val="1"/>
                <c:pt idx="0">
                  <c:v>Total</c:v>
                </c:pt>
              </c:strCache>
            </c:strRef>
          </c:tx>
          <c:spPr>
            <a:ln w="28575" cap="rnd">
              <a:solidFill>
                <a:schemeClr val="accent1"/>
              </a:solidFill>
              <a:round/>
            </a:ln>
            <a:effectLst/>
          </c:spPr>
          <c:marker>
            <c:symbol val="none"/>
          </c:marker>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Sheet1!$A$5:$A$10</c:f>
              <c:strCache>
                <c:ptCount val="6"/>
                <c:pt idx="0">
                  <c:v>Laptop</c:v>
                </c:pt>
                <c:pt idx="1">
                  <c:v>Mobile</c:v>
                </c:pt>
                <c:pt idx="2">
                  <c:v>Refrigerator</c:v>
                </c:pt>
                <c:pt idx="3">
                  <c:v>Shirt</c:v>
                </c:pt>
                <c:pt idx="4">
                  <c:v>Shoes</c:v>
                </c:pt>
                <c:pt idx="5">
                  <c:v>Washing Machine</c:v>
                </c:pt>
              </c:strCache>
            </c:strRef>
          </c:cat>
          <c:val>
            <c:numRef>
              <c:f>Sheet1!$B$5:$B$10</c:f>
              <c:numCache>
                <c:formatCode>_-[$Rs-420]\ * #,##0_-;\-[$Rs-420]\ * #,##0_-;_-[$Rs-420]\ * "-"??_-;_-@_-</c:formatCode>
                <c:ptCount val="6"/>
                <c:pt idx="0">
                  <c:v>4250</c:v>
                </c:pt>
                <c:pt idx="1">
                  <c:v>1600</c:v>
                </c:pt>
                <c:pt idx="2">
                  <c:v>2400</c:v>
                </c:pt>
                <c:pt idx="3">
                  <c:v>90</c:v>
                </c:pt>
                <c:pt idx="4">
                  <c:v>165</c:v>
                </c:pt>
                <c:pt idx="5">
                  <c:v>1900</c:v>
                </c:pt>
              </c:numCache>
            </c:numRef>
          </c:val>
          <c:smooth val="0"/>
          <c:extLst>
            <c:ext xmlns:c16="http://schemas.microsoft.com/office/drawing/2014/chart" uri="{C3380CC4-5D6E-409C-BE32-E72D297353CC}">
              <c16:uniqueId val="{00000000-DC25-477E-9F89-7E321F9569AB}"/>
            </c:ext>
          </c:extLst>
        </c:ser>
        <c:dLbls>
          <c:showLegendKey val="0"/>
          <c:showVal val="0"/>
          <c:showCatName val="0"/>
          <c:showSerName val="0"/>
          <c:showPercent val="0"/>
          <c:showBubbleSize val="0"/>
        </c:dLbls>
        <c:smooth val="0"/>
        <c:axId val="912301183"/>
        <c:axId val="912296863"/>
      </c:lineChart>
      <c:catAx>
        <c:axId val="912301183"/>
        <c:scaling>
          <c:orientation val="minMax"/>
        </c:scaling>
        <c:delete val="0"/>
        <c:axPos val="b"/>
        <c:numFmt formatCode="General" sourceLinked="1"/>
        <c:majorTickMark val="none"/>
        <c:minorTickMark val="none"/>
        <c:tickLblPos val="nextTo"/>
        <c:spPr>
          <a:solidFill>
            <a:schemeClr val="accent6">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296863"/>
        <c:crosses val="autoZero"/>
        <c:auto val="1"/>
        <c:lblAlgn val="ctr"/>
        <c:lblOffset val="100"/>
        <c:noMultiLvlLbl val="0"/>
      </c:catAx>
      <c:valAx>
        <c:axId val="912296863"/>
        <c:scaling>
          <c:orientation val="minMax"/>
        </c:scaling>
        <c:delete val="0"/>
        <c:axPos val="l"/>
        <c:majorGridlines>
          <c:spPr>
            <a:ln w="9525" cap="flat" cmpd="sng" algn="ctr">
              <a:solidFill>
                <a:schemeClr val="tx1">
                  <a:lumMod val="15000"/>
                  <a:lumOff val="85000"/>
                </a:schemeClr>
              </a:solidFill>
              <a:round/>
            </a:ln>
            <a:effectLst/>
          </c:spPr>
        </c:majorGridlines>
        <c:numFmt formatCode="_-[$Rs-420]\ * #,##0_-;\-[$Rs-420]\ * #,##0_-;_-[$Rs-420]\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30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City</a:t>
            </a:r>
          </a:p>
        </c:rich>
      </c:tx>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c:f>
              <c:strCache>
                <c:ptCount val="1"/>
                <c:pt idx="0">
                  <c:v>Total</c:v>
                </c:pt>
              </c:strCache>
            </c:strRef>
          </c:tx>
          <c:spPr>
            <a:solidFill>
              <a:schemeClr val="accent2">
                <a:lumMod val="75000"/>
              </a:schemeClr>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Sheet1!$D$5:$D$8</c:f>
              <c:strCache>
                <c:ptCount val="4"/>
                <c:pt idx="0">
                  <c:v>Faisalabad</c:v>
                </c:pt>
                <c:pt idx="1">
                  <c:v>Islamabad</c:v>
                </c:pt>
                <c:pt idx="2">
                  <c:v>Karachi</c:v>
                </c:pt>
                <c:pt idx="3">
                  <c:v>Lahore</c:v>
                </c:pt>
              </c:strCache>
            </c:strRef>
          </c:cat>
          <c:val>
            <c:numRef>
              <c:f>Sheet1!$E$5:$E$8</c:f>
              <c:numCache>
                <c:formatCode>_-[$Rs-420]\ * #,##0_-;\-[$Rs-420]\ * #,##0_-;_-[$Rs-420]\ * "-"??_-;_-@_-</c:formatCode>
                <c:ptCount val="4"/>
                <c:pt idx="0">
                  <c:v>1365</c:v>
                </c:pt>
                <c:pt idx="1">
                  <c:v>3960</c:v>
                </c:pt>
                <c:pt idx="2">
                  <c:v>4220</c:v>
                </c:pt>
                <c:pt idx="3">
                  <c:v>4055</c:v>
                </c:pt>
              </c:numCache>
            </c:numRef>
          </c:val>
          <c:extLst>
            <c:ext xmlns:c16="http://schemas.microsoft.com/office/drawing/2014/chart" uri="{C3380CC4-5D6E-409C-BE32-E72D297353CC}">
              <c16:uniqueId val="{00000000-1613-4692-A19C-13ED76ADC6D2}"/>
            </c:ext>
          </c:extLst>
        </c:ser>
        <c:dLbls>
          <c:showLegendKey val="0"/>
          <c:showVal val="0"/>
          <c:showCatName val="0"/>
          <c:showSerName val="0"/>
          <c:showPercent val="0"/>
          <c:showBubbleSize val="0"/>
        </c:dLbls>
        <c:gapWidth val="219"/>
        <c:overlap val="-27"/>
        <c:axId val="921516319"/>
        <c:axId val="921512959"/>
      </c:barChart>
      <c:catAx>
        <c:axId val="921516319"/>
        <c:scaling>
          <c:orientation val="minMax"/>
        </c:scaling>
        <c:delete val="0"/>
        <c:axPos val="b"/>
        <c:numFmt formatCode="General" sourceLinked="1"/>
        <c:majorTickMark val="none"/>
        <c:minorTickMark val="none"/>
        <c:tickLblPos val="nextTo"/>
        <c:spPr>
          <a:solidFill>
            <a:srgbClr val="FFC0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512959"/>
        <c:crosses val="autoZero"/>
        <c:auto val="1"/>
        <c:lblAlgn val="ctr"/>
        <c:lblOffset val="100"/>
        <c:noMultiLvlLbl val="0"/>
      </c:catAx>
      <c:valAx>
        <c:axId val="921512959"/>
        <c:scaling>
          <c:orientation val="minMax"/>
        </c:scaling>
        <c:delete val="0"/>
        <c:axPos val="l"/>
        <c:majorGridlines>
          <c:spPr>
            <a:ln w="9525" cap="flat" cmpd="sng" algn="ctr">
              <a:solidFill>
                <a:schemeClr val="tx1">
                  <a:lumMod val="15000"/>
                  <a:lumOff val="85000"/>
                </a:schemeClr>
              </a:solidFill>
              <a:round/>
            </a:ln>
            <a:effectLst/>
          </c:spPr>
        </c:majorGridlines>
        <c:numFmt formatCode="_-[$Rs-420]\ * #,##0_-;\-[$Rs-420]\ * #,##0_-;_-[$Rs-420]\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51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Profitable Salesmen</a:t>
            </a: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Sheet1!$H$4</c:f>
              <c:strCache>
                <c:ptCount val="1"/>
                <c:pt idx="0">
                  <c:v>Total</c:v>
                </c:pt>
              </c:strCache>
            </c:strRef>
          </c:tx>
          <c:spPr>
            <a:solidFill>
              <a:schemeClr val="accent5">
                <a:lumMod val="40000"/>
                <a:lumOff val="60000"/>
              </a:schemeClr>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Sheet1!$G$5:$G$7</c:f>
              <c:strCache>
                <c:ptCount val="3"/>
                <c:pt idx="0">
                  <c:v>Bilal</c:v>
                </c:pt>
                <c:pt idx="1">
                  <c:v>Hamza</c:v>
                </c:pt>
                <c:pt idx="2">
                  <c:v>Usman</c:v>
                </c:pt>
              </c:strCache>
            </c:strRef>
          </c:cat>
          <c:val>
            <c:numRef>
              <c:f>Sheet1!$H$5:$H$7</c:f>
              <c:numCache>
                <c:formatCode>_-[$Rs-420]\ * #,##0_-;\-[$Rs-420]\ * #,##0_-;_-[$Rs-420]\ * "-"??_-;_-@_-</c:formatCode>
                <c:ptCount val="3"/>
                <c:pt idx="0">
                  <c:v>2330</c:v>
                </c:pt>
                <c:pt idx="1">
                  <c:v>6940</c:v>
                </c:pt>
                <c:pt idx="2">
                  <c:v>4330</c:v>
                </c:pt>
              </c:numCache>
            </c:numRef>
          </c:val>
          <c:extLst>
            <c:ext xmlns:c16="http://schemas.microsoft.com/office/drawing/2014/chart" uri="{C3380CC4-5D6E-409C-BE32-E72D297353CC}">
              <c16:uniqueId val="{00000000-8844-41A5-BBBC-7797EA9E0461}"/>
            </c:ext>
          </c:extLst>
        </c:ser>
        <c:dLbls>
          <c:showLegendKey val="0"/>
          <c:showVal val="0"/>
          <c:showCatName val="0"/>
          <c:showSerName val="0"/>
          <c:showPercent val="0"/>
          <c:showBubbleSize val="0"/>
        </c:dLbls>
        <c:gapWidth val="219"/>
        <c:overlap val="-27"/>
        <c:axId val="921510559"/>
        <c:axId val="921511999"/>
      </c:barChart>
      <c:catAx>
        <c:axId val="921510559"/>
        <c:scaling>
          <c:orientation val="minMax"/>
        </c:scaling>
        <c:delete val="0"/>
        <c:axPos val="b"/>
        <c:numFmt formatCode="General" sourceLinked="1"/>
        <c:majorTickMark val="none"/>
        <c:minorTickMark val="none"/>
        <c:tickLblPos val="nextTo"/>
        <c:spPr>
          <a:solidFill>
            <a:schemeClr val="accent4">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21511999"/>
        <c:crosses val="autoZero"/>
        <c:auto val="1"/>
        <c:lblAlgn val="ctr"/>
        <c:lblOffset val="100"/>
        <c:noMultiLvlLbl val="0"/>
      </c:catAx>
      <c:valAx>
        <c:axId val="921511999"/>
        <c:scaling>
          <c:orientation val="minMax"/>
        </c:scaling>
        <c:delete val="1"/>
        <c:axPos val="l"/>
        <c:numFmt formatCode="_-[$Rs-420]\ * #,##0_-;\-[$Rs-420]\ * #,##0_-;_-[$Rs-420]\ * &quot;-&quot;??_-;_-@_-" sourceLinked="1"/>
        <c:majorTickMark val="none"/>
        <c:minorTickMark val="none"/>
        <c:tickLblPos val="nextTo"/>
        <c:crossAx val="921510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180729</xdr:rowOff>
    </xdr:from>
    <xdr:to>
      <xdr:col>3</xdr:col>
      <xdr:colOff>169496</xdr:colOff>
      <xdr:row>17</xdr:row>
      <xdr:rowOff>34191</xdr:rowOff>
    </xdr:to>
    <xdr:graphicFrame macro="">
      <xdr:nvGraphicFramePr>
        <xdr:cNvPr id="3" name="Chart 2">
          <a:extLst>
            <a:ext uri="{FF2B5EF4-FFF2-40B4-BE49-F238E27FC236}">
              <a16:creationId xmlns:a16="http://schemas.microsoft.com/office/drawing/2014/main" id="{86330E9B-6F5D-EAA4-CA1A-FFC5E93C1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178291</xdr:colOff>
      <xdr:row>7</xdr:row>
      <xdr:rowOff>0</xdr:rowOff>
    </xdr:from>
    <xdr:to>
      <xdr:col>7</xdr:col>
      <xdr:colOff>293079</xdr:colOff>
      <xdr:row>17</xdr:row>
      <xdr:rowOff>29307</xdr:rowOff>
    </xdr:to>
    <xdr:graphicFrame macro="">
      <xdr:nvGraphicFramePr>
        <xdr:cNvPr id="7" name="Chart 6">
          <a:extLst>
            <a:ext uri="{FF2B5EF4-FFF2-40B4-BE49-F238E27FC236}">
              <a16:creationId xmlns:a16="http://schemas.microsoft.com/office/drawing/2014/main" id="{EA7D4E0A-CB54-E61D-6364-DD50949F0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300403</xdr:colOff>
      <xdr:row>6</xdr:row>
      <xdr:rowOff>179265</xdr:rowOff>
    </xdr:from>
    <xdr:to>
      <xdr:col>12</xdr:col>
      <xdr:colOff>522653</xdr:colOff>
      <xdr:row>17</xdr:row>
      <xdr:rowOff>29307</xdr:rowOff>
    </xdr:to>
    <xdr:graphicFrame macro="">
      <xdr:nvGraphicFramePr>
        <xdr:cNvPr id="2" name="Chart 1">
          <a:extLst>
            <a:ext uri="{FF2B5EF4-FFF2-40B4-BE49-F238E27FC236}">
              <a16:creationId xmlns:a16="http://schemas.microsoft.com/office/drawing/2014/main" id="{1E3ABDAE-B3C2-CCFD-163E-7E9E8DA42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549520</xdr:colOff>
      <xdr:row>17</xdr:row>
      <xdr:rowOff>175846</xdr:rowOff>
    </xdr:from>
    <xdr:to>
      <xdr:col>8</xdr:col>
      <xdr:colOff>14653</xdr:colOff>
      <xdr:row>28</xdr:row>
      <xdr:rowOff>11234</xdr:rowOff>
    </xdr:to>
    <xdr:graphicFrame macro="">
      <xdr:nvGraphicFramePr>
        <xdr:cNvPr id="4" name="Chart 3">
          <a:extLst>
            <a:ext uri="{FF2B5EF4-FFF2-40B4-BE49-F238E27FC236}">
              <a16:creationId xmlns:a16="http://schemas.microsoft.com/office/drawing/2014/main" id="{B4E61845-B00B-9A20-197A-EC143CA1E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53731</xdr:colOff>
      <xdr:row>0</xdr:row>
      <xdr:rowOff>122117</xdr:rowOff>
    </xdr:from>
    <xdr:to>
      <xdr:col>12</xdr:col>
      <xdr:colOff>478692</xdr:colOff>
      <xdr:row>0</xdr:row>
      <xdr:rowOff>600808</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47816B02-4C18-4BF8-8FF7-6F8475C46A9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3731" y="122117"/>
              <a:ext cx="8782538" cy="478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12851</xdr:colOff>
      <xdr:row>0</xdr:row>
      <xdr:rowOff>169486</xdr:rowOff>
    </xdr:from>
    <xdr:to>
      <xdr:col>6</xdr:col>
      <xdr:colOff>752475</xdr:colOff>
      <xdr:row>2</xdr:row>
      <xdr:rowOff>154972</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AC91741B-A773-CF39-A2D4-41BD16A94F5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851" y="169486"/>
              <a:ext cx="3978124" cy="9485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38692</xdr:colOff>
      <xdr:row>3</xdr:row>
      <xdr:rowOff>14247</xdr:rowOff>
    </xdr:from>
    <xdr:to>
      <xdr:col>11</xdr:col>
      <xdr:colOff>69535</xdr:colOff>
      <xdr:row>8</xdr:row>
      <xdr:rowOff>129931</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A222A5EE-78E3-654C-C323-49365E3EE3F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213942" y="1162539"/>
              <a:ext cx="2253343" cy="1041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762789</xdr:colOff>
      <xdr:row>0</xdr:row>
      <xdr:rowOff>174625</xdr:rowOff>
    </xdr:from>
    <xdr:to>
      <xdr:col>11</xdr:col>
      <xdr:colOff>185208</xdr:colOff>
      <xdr:row>2</xdr:row>
      <xdr:rowOff>127000</xdr:rowOff>
    </xdr:to>
    <mc:AlternateContent xmlns:mc="http://schemas.openxmlformats.org/markup-compatibility/2006">
      <mc:Choice xmlns:a14="http://schemas.microsoft.com/office/drawing/2010/main" Requires="a14">
        <xdr:graphicFrame macro="">
          <xdr:nvGraphicFramePr>
            <xdr:cNvPr id="4" name="Salesperson">
              <a:extLst>
                <a:ext uri="{FF2B5EF4-FFF2-40B4-BE49-F238E27FC236}">
                  <a16:creationId xmlns:a16="http://schemas.microsoft.com/office/drawing/2014/main" id="{6ADC37FA-F557-CB09-FD86-ED5163122F7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4001289" y="174625"/>
              <a:ext cx="3581669" cy="915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9071</xdr:rowOff>
    </xdr:from>
    <xdr:to>
      <xdr:col>7</xdr:col>
      <xdr:colOff>244929</xdr:colOff>
      <xdr:row>21</xdr:row>
      <xdr:rowOff>167820</xdr:rowOff>
    </xdr:to>
    <xdr:graphicFrame macro="">
      <xdr:nvGraphicFramePr>
        <xdr:cNvPr id="5" name="Chart 4">
          <a:extLst>
            <a:ext uri="{FF2B5EF4-FFF2-40B4-BE49-F238E27FC236}">
              <a16:creationId xmlns:a16="http://schemas.microsoft.com/office/drawing/2014/main" id="{9F649B39-A0B7-38FC-7786-B60B85A6C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249462</xdr:colOff>
      <xdr:row>10</xdr:row>
      <xdr:rowOff>4534</xdr:rowOff>
    </xdr:from>
    <xdr:to>
      <xdr:col>13</xdr:col>
      <xdr:colOff>43961</xdr:colOff>
      <xdr:row>21</xdr:row>
      <xdr:rowOff>166077</xdr:rowOff>
    </xdr:to>
    <xdr:graphicFrame macro="">
      <xdr:nvGraphicFramePr>
        <xdr:cNvPr id="6" name="Chart 5">
          <a:extLst>
            <a:ext uri="{FF2B5EF4-FFF2-40B4-BE49-F238E27FC236}">
              <a16:creationId xmlns:a16="http://schemas.microsoft.com/office/drawing/2014/main" id="{5BE6CCE4-0AC8-7F9C-B87A-16742772B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51289</xdr:colOff>
      <xdr:row>10</xdr:row>
      <xdr:rowOff>10584</xdr:rowOff>
    </xdr:from>
    <xdr:to>
      <xdr:col>18</xdr:col>
      <xdr:colOff>592260</xdr:colOff>
      <xdr:row>21</xdr:row>
      <xdr:rowOff>150852</xdr:rowOff>
    </xdr:to>
    <xdr:graphicFrame macro="">
      <xdr:nvGraphicFramePr>
        <xdr:cNvPr id="7" name="Chart 6">
          <a:extLst>
            <a:ext uri="{FF2B5EF4-FFF2-40B4-BE49-F238E27FC236}">
              <a16:creationId xmlns:a16="http://schemas.microsoft.com/office/drawing/2014/main" id="{5F3D9DCF-442A-24D9-7B19-B12781632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BAS" refreshedDate="46153.260473148148" createdVersion="8" refreshedVersion="8" minRefreshableVersion="3" recordCount="20" xr:uid="{066CD01F-F8A1-4D59-9D81-CC307B6A2378}">
  <cacheSource type="worksheet">
    <worksheetSource ref="A1:K21" sheet="Analysis"/>
  </cacheSource>
  <cacheFields count="11">
    <cacheField name="Order_ID" numFmtId="0">
      <sharedItems containsSemiMixedTypes="0" containsString="0" containsNumber="1" containsInteger="1" minValue="2001" maxValue="2020"/>
    </cacheField>
    <cacheField name="Date" numFmtId="164">
      <sharedItems containsDate="1" containsMixedTypes="1" minDate="2025-01-01T00:00:00" maxDate="2025-12-02T00:00:00"/>
    </cacheField>
    <cacheField name="Customer_Name" numFmtId="0">
      <sharedItems/>
    </cacheField>
    <cacheField name="City" numFmtId="0">
      <sharedItems count="4">
        <s v="Lahore"/>
        <s v="Karachi"/>
        <s v="Islamabad"/>
        <s v="Faisalabad"/>
      </sharedItems>
    </cacheField>
    <cacheField name="Salesperson" numFmtId="0">
      <sharedItems count="3">
        <s v="Hamza"/>
        <s v="Bilal"/>
        <s v="Usman"/>
      </sharedItems>
    </cacheField>
    <cacheField name="Product" numFmtId="0">
      <sharedItems count="6">
        <s v="Laptop"/>
        <s v="Mobile"/>
        <s v="Refrigerator"/>
        <s v="Shirt"/>
        <s v="Shoes"/>
        <s v="Washing Machine"/>
      </sharedItems>
    </cacheField>
    <cacheField name="Category" numFmtId="0">
      <sharedItems/>
    </cacheField>
    <cacheField name="Quantity" numFmtId="0">
      <sharedItems containsSemiMixedTypes="0" containsString="0" containsNumber="1" containsInteger="1" minValue="1" maxValue="6"/>
    </cacheField>
    <cacheField name="Unit_Price" numFmtId="165">
      <sharedItems containsSemiMixedTypes="0" containsString="0" containsNumber="1" containsInteger="1" minValue="30" maxValue="1200"/>
    </cacheField>
    <cacheField name="Revenue" numFmtId="165">
      <sharedItems containsSemiMixedTypes="0" containsString="0" containsNumber="1" containsInteger="1" minValue="110" maxValue="1700"/>
    </cacheField>
    <cacheField name="Payment_Method" numFmtId="0">
      <sharedItems/>
    </cacheField>
  </cacheFields>
  <extLst>
    <ext xmlns:x14="http://schemas.microsoft.com/office/spreadsheetml/2009/9/main" uri="{725AE2AE-9491-48be-B2B4-4EB974FC3084}">
      <x14:pivotCacheDefinition pivotCacheId="634598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2001"/>
    <d v="2025-01-01T00:00:00"/>
    <s v="Ali Khan"/>
    <x v="0"/>
    <x v="0"/>
    <x v="0"/>
    <s v="Electronics"/>
    <n v="1"/>
    <n v="850"/>
    <n v="850"/>
    <s v="Cash"/>
  </r>
  <r>
    <n v="2002"/>
    <d v="2025-02-01T00:00:00"/>
    <s v="Sara Ahmed"/>
    <x v="1"/>
    <x v="1"/>
    <x v="1"/>
    <s v="Electronics"/>
    <n v="2"/>
    <n v="320"/>
    <n v="640"/>
    <s v="Card"/>
  </r>
  <r>
    <n v="2003"/>
    <d v="2025-03-01T00:00:00"/>
    <s v="Ahmed Raza"/>
    <x v="2"/>
    <x v="0"/>
    <x v="2"/>
    <s v="Appliances"/>
    <n v="1"/>
    <n v="1200"/>
    <n v="1200"/>
    <s v="Bank Transfer"/>
  </r>
  <r>
    <n v="2004"/>
    <d v="2025-04-01T00:00:00"/>
    <s v="Hina Noor"/>
    <x v="0"/>
    <x v="2"/>
    <x v="3"/>
    <s v="Fashion"/>
    <n v="5"/>
    <n v="30"/>
    <n v="150"/>
    <s v="Cash"/>
  </r>
  <r>
    <n v="2005"/>
    <d v="2025-05-01T00:00:00"/>
    <s v="Bilal Ahmed"/>
    <x v="3"/>
    <x v="1"/>
    <x v="4"/>
    <s v="Fashion"/>
    <n v="3"/>
    <n v="55"/>
    <n v="165"/>
    <s v="Card"/>
  </r>
  <r>
    <n v="2006"/>
    <d v="2025-06-01T00:00:00"/>
    <s v="Ayesha Malik"/>
    <x v="1"/>
    <x v="0"/>
    <x v="0"/>
    <s v="Electronics"/>
    <n v="1"/>
    <n v="850"/>
    <n v="850"/>
    <s v="Bank Transfer"/>
  </r>
  <r>
    <n v="2007"/>
    <d v="2025-07-01T00:00:00"/>
    <s v="Umar Farooq"/>
    <x v="0"/>
    <x v="2"/>
    <x v="1"/>
    <s v="Electronics"/>
    <n v="3"/>
    <n v="320"/>
    <n v="960"/>
    <s v="Cash"/>
  </r>
  <r>
    <n v="2008"/>
    <d v="2025-08-01T00:00:00"/>
    <s v="Sana Ali"/>
    <x v="2"/>
    <x v="1"/>
    <x v="5"/>
    <s v="Appliances"/>
    <n v="1"/>
    <n v="950"/>
    <n v="950"/>
    <s v="Card"/>
  </r>
  <r>
    <n v="2009"/>
    <d v="2025-09-01T00:00:00"/>
    <s v="Ali Khan"/>
    <x v="0"/>
    <x v="0"/>
    <x v="4"/>
    <s v="Fashion"/>
    <n v="2"/>
    <n v="55"/>
    <n v="110"/>
    <s v="Cash"/>
  </r>
  <r>
    <n v="2010"/>
    <d v="2025-10-01T00:00:00"/>
    <s v="Sara Ahmed"/>
    <x v="1"/>
    <x v="2"/>
    <x v="0"/>
    <s v="Electronics"/>
    <n v="1"/>
    <n v="850"/>
    <n v="850"/>
    <s v="Bank Transfer"/>
  </r>
  <r>
    <n v="2011"/>
    <d v="2025-11-01T00:00:00"/>
    <s v="Ahmed Raza"/>
    <x v="2"/>
    <x v="0"/>
    <x v="1"/>
    <s v="Electronics"/>
    <n v="2"/>
    <n v="320"/>
    <n v="640"/>
    <s v="Card"/>
  </r>
  <r>
    <n v="2012"/>
    <d v="2025-12-01T00:00:00"/>
    <s v="Hina Noor"/>
    <x v="0"/>
    <x v="1"/>
    <x v="3"/>
    <s v="Fashion"/>
    <n v="4"/>
    <n v="30"/>
    <n v="120"/>
    <s v="Cash"/>
  </r>
  <r>
    <n v="2013"/>
    <s v="13-01-2025"/>
    <s v="Bilal Ahmed"/>
    <x v="3"/>
    <x v="2"/>
    <x v="2"/>
    <s v="Appliances"/>
    <n v="1"/>
    <n v="1200"/>
    <n v="1200"/>
    <s v="Card"/>
  </r>
  <r>
    <n v="2014"/>
    <s v="14-01-2025"/>
    <s v="Ayesha Malik"/>
    <x v="1"/>
    <x v="0"/>
    <x v="0"/>
    <s v="Electronics"/>
    <n v="2"/>
    <n v="850"/>
    <n v="1700"/>
    <s v="Bank Transfer"/>
  </r>
  <r>
    <n v="2015"/>
    <s v="15-01-2025"/>
    <s v="Umar Farooq"/>
    <x v="0"/>
    <x v="1"/>
    <x v="4"/>
    <s v="Fashion"/>
    <n v="5"/>
    <n v="55"/>
    <n v="275"/>
    <s v="Cash"/>
  </r>
  <r>
    <n v="2016"/>
    <s v="16-01-2025"/>
    <s v="Sana Ali"/>
    <x v="2"/>
    <x v="2"/>
    <x v="1"/>
    <s v="Electronics"/>
    <n v="1"/>
    <n v="320"/>
    <n v="320"/>
    <s v="Card"/>
  </r>
  <r>
    <n v="2017"/>
    <s v="17-01-2025"/>
    <s v="Ali Khan"/>
    <x v="0"/>
    <x v="0"/>
    <x v="5"/>
    <s v="Appliances"/>
    <n v="1"/>
    <n v="950"/>
    <n v="950"/>
    <s v="Bank Transfer"/>
  </r>
  <r>
    <n v="2018"/>
    <s v="18-01-2025"/>
    <s v="Sara Ahmed"/>
    <x v="1"/>
    <x v="1"/>
    <x v="3"/>
    <s v="Fashion"/>
    <n v="6"/>
    <n v="30"/>
    <n v="180"/>
    <s v="Cash"/>
  </r>
  <r>
    <n v="2019"/>
    <s v="19-01-2025"/>
    <s v="Ahmed Raza"/>
    <x v="2"/>
    <x v="2"/>
    <x v="0"/>
    <s v="Electronics"/>
    <n v="1"/>
    <n v="850"/>
    <n v="850"/>
    <s v="Card"/>
  </r>
  <r>
    <n v="2020"/>
    <s v="20-01-2025"/>
    <s v="Hina Noor"/>
    <x v="0"/>
    <x v="0"/>
    <x v="1"/>
    <s v="Electronics"/>
    <n v="2"/>
    <n v="320"/>
    <n v="640"/>
    <s v="Bank Transf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555A88-41A7-4BFA-A04C-52A43BB3420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Salesperson">
  <location ref="G4:H7" firstHeaderRow="1" firstDataRow="1" firstDataCol="1"/>
  <pivotFields count="11">
    <pivotField showAll="0"/>
    <pivotField showAll="0"/>
    <pivotField showAll="0"/>
    <pivotField showAll="0">
      <items count="5">
        <item x="3"/>
        <item x="2"/>
        <item x="1"/>
        <item x="0"/>
        <item t="default"/>
      </items>
    </pivotField>
    <pivotField axis="axisRow" showAll="0">
      <items count="4">
        <item x="1"/>
        <item x="0"/>
        <item x="2"/>
        <item t="default"/>
      </items>
    </pivotField>
    <pivotField showAll="0">
      <items count="7">
        <item x="0"/>
        <item x="1"/>
        <item x="2"/>
        <item x="3"/>
        <item x="4"/>
        <item x="5"/>
        <item t="default"/>
      </items>
    </pivotField>
    <pivotField showAll="0"/>
    <pivotField showAll="0"/>
    <pivotField numFmtId="165" showAll="0"/>
    <pivotField dataField="1" numFmtId="165" showAll="0"/>
    <pivotField showAll="0"/>
  </pivotFields>
  <rowFields count="1">
    <field x="4"/>
  </rowFields>
  <rowItems count="3">
    <i>
      <x/>
    </i>
    <i>
      <x v="1"/>
    </i>
    <i>
      <x v="2"/>
    </i>
  </rowItems>
  <colItems count="1">
    <i/>
  </colItems>
  <dataFields count="1">
    <dataField name="Sum of Revenue" fld="9" baseField="0" baseItem="0" numFmtId="165"/>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00ADCA-276E-4805-9522-BF15A91E45B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City">
  <location ref="D4:E8" firstHeaderRow="1" firstDataRow="1" firstDataCol="1"/>
  <pivotFields count="11">
    <pivotField showAll="0"/>
    <pivotField showAll="0"/>
    <pivotField showAll="0"/>
    <pivotField axis="axisRow" showAll="0">
      <items count="5">
        <item x="3"/>
        <item x="2"/>
        <item x="1"/>
        <item x="0"/>
        <item t="default"/>
      </items>
    </pivotField>
    <pivotField showAll="0"/>
    <pivotField showAll="0">
      <items count="7">
        <item x="0"/>
        <item x="1"/>
        <item x="2"/>
        <item x="3"/>
        <item x="4"/>
        <item x="5"/>
        <item t="default"/>
      </items>
    </pivotField>
    <pivotField showAll="0"/>
    <pivotField showAll="0"/>
    <pivotField numFmtId="165" showAll="0"/>
    <pivotField dataField="1" numFmtId="165" showAll="0"/>
    <pivotField showAll="0"/>
  </pivotFields>
  <rowFields count="1">
    <field x="3"/>
  </rowFields>
  <rowItems count="4">
    <i>
      <x/>
    </i>
    <i>
      <x v="1"/>
    </i>
    <i>
      <x v="2"/>
    </i>
    <i>
      <x v="3"/>
    </i>
  </rowItems>
  <colItems count="1">
    <i/>
  </colItems>
  <dataFields count="1">
    <dataField name="Revenue " fld="9" baseField="3" baseItem="0" numFmtId="165"/>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1D0DE8-172D-4D10-B69C-D9DD8FAF582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Product">
  <location ref="A4:B10" firstHeaderRow="1" firstDataRow="1" firstDataCol="1"/>
  <pivotFields count="11">
    <pivotField showAll="0"/>
    <pivotField showAll="0"/>
    <pivotField showAll="0"/>
    <pivotField showAll="0">
      <items count="5">
        <item x="3"/>
        <item x="2"/>
        <item x="1"/>
        <item x="0"/>
        <item t="default"/>
      </items>
    </pivotField>
    <pivotField showAll="0"/>
    <pivotField axis="axisRow" showAll="0">
      <items count="7">
        <item x="0"/>
        <item x="1"/>
        <item x="2"/>
        <item x="3"/>
        <item x="4"/>
        <item x="5"/>
        <item t="default"/>
      </items>
    </pivotField>
    <pivotField showAll="0"/>
    <pivotField showAll="0"/>
    <pivotField dataField="1" numFmtId="165" showAll="0"/>
    <pivotField numFmtId="165" showAll="0"/>
    <pivotField showAll="0"/>
  </pivotFields>
  <rowFields count="1">
    <field x="5"/>
  </rowFields>
  <rowItems count="6">
    <i>
      <x/>
    </i>
    <i>
      <x v="1"/>
    </i>
    <i>
      <x v="2"/>
    </i>
    <i>
      <x v="3"/>
    </i>
    <i>
      <x v="4"/>
    </i>
    <i>
      <x v="5"/>
    </i>
  </rowItems>
  <colItems count="1">
    <i/>
  </colItems>
  <dataFields count="1">
    <dataField name="Price" fld="8" baseField="5" baseItem="0"/>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704E566-79BF-452B-8EA5-37E2ADB8AE7F}" sourceName="Product">
  <pivotTables>
    <pivotTable tabId="4" name="PivotTable5"/>
  </pivotTables>
  <data>
    <tabular pivotCacheId="634598528">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19CCC6F-C12D-4DCD-ADB7-2FA796E17F2F}" sourceName="City">
  <pivotTables>
    <pivotTable tabId="4" name="PivotTable6"/>
  </pivotTables>
  <data>
    <tabular pivotCacheId="634598528">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0BB3A74-5C19-4723-92C6-D49CECE55D2B}" sourceName="Salesperson">
  <pivotTables>
    <pivotTable tabId="4" name="PivotTable7"/>
  </pivotTables>
  <data>
    <tabular pivotCacheId="63459852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2F57584-F05E-439D-9C58-B0431B26E757}" cache="Slicer_Product" caption="Product" columnCount="6" showCaption="0"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F076566-5A12-4796-BA03-4E034AB2F64A}" cache="Slicer_Product" caption="Product" columnCount="3" style="SlicerStyleDark3" rowHeight="251883"/>
  <slicer name="City" xr10:uid="{033DC759-62C5-4B5E-B587-208607D31C8B}" cache="Slicer_City" caption="City" columnCount="2" style="Slicer Style 1" rowHeight="251883"/>
  <slicer name="Salesperson" xr10:uid="{8D52F728-7C86-412B-AFD6-A34D57FE6206}" cache="Slicer_Salesperson" caption="Salesperson" columnCount="3" style="SlicerStyleLight5"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595D3-FD1B-4BA4-BF0B-1D7C5BCA4231}">
  <dimension ref="A1:K21"/>
  <sheetViews>
    <sheetView workbookViewId="0">
      <selection sqref="A1:K21"/>
    </sheetView>
  </sheetViews>
  <sheetFormatPr defaultRowHeight="14.5" x14ac:dyDescent="0.35"/>
  <cols>
    <col min="1" max="1" width="8" bestFit="1" customWidth="1"/>
    <col min="2" max="2" width="10.08984375" bestFit="1" customWidth="1"/>
    <col min="3" max="3" width="14.54296875" bestFit="1" customWidth="1"/>
    <col min="4" max="4" width="9.6328125" bestFit="1" customWidth="1"/>
    <col min="5" max="5" width="10.7265625" bestFit="1" customWidth="1"/>
    <col min="6" max="6" width="15.08984375" bestFit="1" customWidth="1"/>
    <col min="7" max="7" width="9.90625" bestFit="1" customWidth="1"/>
    <col min="8" max="8" width="7.7265625" bestFit="1" customWidth="1"/>
    <col min="9" max="9" width="9.1796875" bestFit="1" customWidth="1"/>
    <col min="10" max="10" width="7.7265625" bestFit="1" customWidth="1"/>
    <col min="11" max="11" width="14.90625" bestFit="1" customWidth="1"/>
  </cols>
  <sheetData>
    <row r="1" spans="1:11" s="2" customFormat="1" x14ac:dyDescent="0.35">
      <c r="A1" s="2" t="s">
        <v>0</v>
      </c>
      <c r="B1" s="2" t="s">
        <v>1</v>
      </c>
      <c r="C1" s="2" t="s">
        <v>2</v>
      </c>
      <c r="D1" s="2" t="s">
        <v>3</v>
      </c>
      <c r="E1" s="2" t="s">
        <v>4</v>
      </c>
      <c r="F1" s="2" t="s">
        <v>5</v>
      </c>
      <c r="G1" s="2" t="s">
        <v>6</v>
      </c>
      <c r="H1" s="2" t="s">
        <v>7</v>
      </c>
      <c r="I1" s="2" t="s">
        <v>8</v>
      </c>
      <c r="J1" s="2" t="s">
        <v>9</v>
      </c>
      <c r="K1" s="2" t="s">
        <v>10</v>
      </c>
    </row>
    <row r="2" spans="1:11" x14ac:dyDescent="0.35">
      <c r="A2">
        <v>2001</v>
      </c>
      <c r="B2" s="1">
        <v>45658</v>
      </c>
      <c r="C2" t="s">
        <v>11</v>
      </c>
      <c r="D2" t="s">
        <v>12</v>
      </c>
      <c r="E2" t="s">
        <v>13</v>
      </c>
      <c r="F2" t="s">
        <v>14</v>
      </c>
      <c r="G2" t="s">
        <v>15</v>
      </c>
      <c r="H2">
        <v>1</v>
      </c>
      <c r="I2">
        <v>850</v>
      </c>
      <c r="J2">
        <v>850</v>
      </c>
      <c r="K2" t="s">
        <v>16</v>
      </c>
    </row>
    <row r="3" spans="1:11" x14ac:dyDescent="0.35">
      <c r="A3">
        <v>2002</v>
      </c>
      <c r="B3" s="1">
        <v>45689</v>
      </c>
      <c r="C3" t="s">
        <v>17</v>
      </c>
      <c r="D3" t="s">
        <v>18</v>
      </c>
      <c r="E3" t="s">
        <v>19</v>
      </c>
      <c r="F3" t="s">
        <v>20</v>
      </c>
      <c r="G3" t="s">
        <v>15</v>
      </c>
      <c r="H3">
        <v>2</v>
      </c>
      <c r="I3">
        <v>320</v>
      </c>
      <c r="J3">
        <v>640</v>
      </c>
      <c r="K3" t="s">
        <v>21</v>
      </c>
    </row>
    <row r="4" spans="1:11" x14ac:dyDescent="0.35">
      <c r="A4">
        <v>2003</v>
      </c>
      <c r="B4" s="1">
        <v>45717</v>
      </c>
      <c r="C4" t="s">
        <v>22</v>
      </c>
      <c r="D4" t="s">
        <v>23</v>
      </c>
      <c r="E4" t="s">
        <v>13</v>
      </c>
      <c r="F4" t="s">
        <v>24</v>
      </c>
      <c r="G4" t="s">
        <v>25</v>
      </c>
      <c r="H4">
        <v>1</v>
      </c>
      <c r="I4">
        <v>1200</v>
      </c>
      <c r="J4">
        <v>1200</v>
      </c>
      <c r="K4" t="s">
        <v>26</v>
      </c>
    </row>
    <row r="5" spans="1:11" x14ac:dyDescent="0.35">
      <c r="A5">
        <v>2004</v>
      </c>
      <c r="B5" s="1">
        <v>45748</v>
      </c>
      <c r="C5" t="s">
        <v>27</v>
      </c>
      <c r="D5" t="s">
        <v>12</v>
      </c>
      <c r="E5" t="s">
        <v>28</v>
      </c>
      <c r="F5" t="s">
        <v>29</v>
      </c>
      <c r="G5" t="s">
        <v>30</v>
      </c>
      <c r="H5">
        <v>5</v>
      </c>
      <c r="I5">
        <v>30</v>
      </c>
      <c r="J5">
        <v>150</v>
      </c>
      <c r="K5" t="s">
        <v>16</v>
      </c>
    </row>
    <row r="6" spans="1:11" x14ac:dyDescent="0.35">
      <c r="A6">
        <v>2005</v>
      </c>
      <c r="B6" s="1">
        <v>45778</v>
      </c>
      <c r="C6" t="s">
        <v>31</v>
      </c>
      <c r="D6" t="s">
        <v>32</v>
      </c>
      <c r="E6" t="s">
        <v>19</v>
      </c>
      <c r="F6" t="s">
        <v>33</v>
      </c>
      <c r="G6" t="s">
        <v>30</v>
      </c>
      <c r="H6">
        <v>3</v>
      </c>
      <c r="I6">
        <v>55</v>
      </c>
      <c r="J6">
        <v>165</v>
      </c>
      <c r="K6" t="s">
        <v>21</v>
      </c>
    </row>
    <row r="7" spans="1:11" x14ac:dyDescent="0.35">
      <c r="A7">
        <v>2006</v>
      </c>
      <c r="B7" s="1">
        <v>45809</v>
      </c>
      <c r="C7" t="s">
        <v>34</v>
      </c>
      <c r="D7" t="s">
        <v>18</v>
      </c>
      <c r="E7" t="s">
        <v>13</v>
      </c>
      <c r="F7" t="s">
        <v>14</v>
      </c>
      <c r="G7" t="s">
        <v>15</v>
      </c>
      <c r="H7">
        <v>1</v>
      </c>
      <c r="I7">
        <v>850</v>
      </c>
      <c r="J7">
        <v>850</v>
      </c>
      <c r="K7" t="s">
        <v>26</v>
      </c>
    </row>
    <row r="8" spans="1:11" x14ac:dyDescent="0.35">
      <c r="A8">
        <v>2007</v>
      </c>
      <c r="B8" s="1">
        <v>45839</v>
      </c>
      <c r="C8" t="s">
        <v>35</v>
      </c>
      <c r="D8" t="s">
        <v>12</v>
      </c>
      <c r="E8" t="s">
        <v>28</v>
      </c>
      <c r="F8" t="s">
        <v>20</v>
      </c>
      <c r="G8" t="s">
        <v>15</v>
      </c>
      <c r="H8">
        <v>3</v>
      </c>
      <c r="I8">
        <v>320</v>
      </c>
      <c r="J8">
        <v>960</v>
      </c>
      <c r="K8" t="s">
        <v>16</v>
      </c>
    </row>
    <row r="9" spans="1:11" x14ac:dyDescent="0.35">
      <c r="A9">
        <v>2008</v>
      </c>
      <c r="B9" s="1">
        <v>45870</v>
      </c>
      <c r="C9" t="s">
        <v>36</v>
      </c>
      <c r="D9" t="s">
        <v>23</v>
      </c>
      <c r="E9" t="s">
        <v>19</v>
      </c>
      <c r="F9" t="s">
        <v>37</v>
      </c>
      <c r="G9" t="s">
        <v>25</v>
      </c>
      <c r="H9">
        <v>1</v>
      </c>
      <c r="I9">
        <v>950</v>
      </c>
      <c r="J9">
        <v>950</v>
      </c>
      <c r="K9" t="s">
        <v>21</v>
      </c>
    </row>
    <row r="10" spans="1:11" x14ac:dyDescent="0.35">
      <c r="A10">
        <v>2009</v>
      </c>
      <c r="B10" s="1">
        <v>45901</v>
      </c>
      <c r="C10" t="s">
        <v>11</v>
      </c>
      <c r="D10" t="s">
        <v>12</v>
      </c>
      <c r="E10" t="s">
        <v>13</v>
      </c>
      <c r="F10" t="s">
        <v>33</v>
      </c>
      <c r="G10" t="s">
        <v>30</v>
      </c>
      <c r="H10">
        <v>2</v>
      </c>
      <c r="I10">
        <v>55</v>
      </c>
      <c r="J10">
        <v>110</v>
      </c>
      <c r="K10" t="s">
        <v>16</v>
      </c>
    </row>
    <row r="11" spans="1:11" x14ac:dyDescent="0.35">
      <c r="A11">
        <v>2010</v>
      </c>
      <c r="B11" s="1">
        <v>45931</v>
      </c>
      <c r="C11" t="s">
        <v>17</v>
      </c>
      <c r="D11" t="s">
        <v>18</v>
      </c>
      <c r="E11" t="s">
        <v>28</v>
      </c>
      <c r="F11" t="s">
        <v>14</v>
      </c>
      <c r="G11" t="s">
        <v>15</v>
      </c>
      <c r="H11">
        <v>1</v>
      </c>
      <c r="I11">
        <v>850</v>
      </c>
      <c r="J11">
        <v>850</v>
      </c>
      <c r="K11" t="s">
        <v>26</v>
      </c>
    </row>
    <row r="12" spans="1:11" x14ac:dyDescent="0.35">
      <c r="A12">
        <v>2011</v>
      </c>
      <c r="B12" s="1">
        <v>45962</v>
      </c>
      <c r="C12" t="s">
        <v>22</v>
      </c>
      <c r="D12" t="s">
        <v>23</v>
      </c>
      <c r="E12" t="s">
        <v>13</v>
      </c>
      <c r="F12" t="s">
        <v>20</v>
      </c>
      <c r="G12" t="s">
        <v>15</v>
      </c>
      <c r="H12">
        <v>2</v>
      </c>
      <c r="I12">
        <v>320</v>
      </c>
      <c r="J12">
        <v>640</v>
      </c>
      <c r="K12" t="s">
        <v>21</v>
      </c>
    </row>
    <row r="13" spans="1:11" x14ac:dyDescent="0.35">
      <c r="A13">
        <v>2012</v>
      </c>
      <c r="B13" s="1">
        <v>45992</v>
      </c>
      <c r="C13" t="s">
        <v>27</v>
      </c>
      <c r="D13" t="s">
        <v>12</v>
      </c>
      <c r="E13" t="s">
        <v>19</v>
      </c>
      <c r="F13" t="s">
        <v>29</v>
      </c>
      <c r="G13" t="s">
        <v>30</v>
      </c>
      <c r="H13">
        <v>4</v>
      </c>
      <c r="I13">
        <v>30</v>
      </c>
      <c r="J13">
        <v>120</v>
      </c>
      <c r="K13" t="s">
        <v>16</v>
      </c>
    </row>
    <row r="14" spans="1:11" x14ac:dyDescent="0.35">
      <c r="A14">
        <v>2013</v>
      </c>
      <c r="B14" t="s">
        <v>38</v>
      </c>
      <c r="C14" t="s">
        <v>31</v>
      </c>
      <c r="D14" t="s">
        <v>32</v>
      </c>
      <c r="E14" t="s">
        <v>28</v>
      </c>
      <c r="F14" t="s">
        <v>24</v>
      </c>
      <c r="G14" t="s">
        <v>25</v>
      </c>
      <c r="H14">
        <v>1</v>
      </c>
      <c r="I14">
        <v>1200</v>
      </c>
      <c r="J14">
        <v>1200</v>
      </c>
      <c r="K14" t="s">
        <v>21</v>
      </c>
    </row>
    <row r="15" spans="1:11" x14ac:dyDescent="0.35">
      <c r="A15">
        <v>2014</v>
      </c>
      <c r="B15" t="s">
        <v>39</v>
      </c>
      <c r="C15" t="s">
        <v>34</v>
      </c>
      <c r="D15" t="s">
        <v>18</v>
      </c>
      <c r="E15" t="s">
        <v>13</v>
      </c>
      <c r="F15" t="s">
        <v>14</v>
      </c>
      <c r="G15" t="s">
        <v>15</v>
      </c>
      <c r="H15">
        <v>2</v>
      </c>
      <c r="I15">
        <v>850</v>
      </c>
      <c r="J15">
        <v>1700</v>
      </c>
      <c r="K15" t="s">
        <v>26</v>
      </c>
    </row>
    <row r="16" spans="1:11" x14ac:dyDescent="0.35">
      <c r="A16">
        <v>2015</v>
      </c>
      <c r="B16" t="s">
        <v>40</v>
      </c>
      <c r="C16" t="s">
        <v>35</v>
      </c>
      <c r="D16" t="s">
        <v>12</v>
      </c>
      <c r="E16" t="s">
        <v>19</v>
      </c>
      <c r="F16" t="s">
        <v>33</v>
      </c>
      <c r="G16" t="s">
        <v>30</v>
      </c>
      <c r="H16">
        <v>5</v>
      </c>
      <c r="I16">
        <v>55</v>
      </c>
      <c r="J16">
        <v>275</v>
      </c>
      <c r="K16" t="s">
        <v>16</v>
      </c>
    </row>
    <row r="17" spans="1:11" x14ac:dyDescent="0.35">
      <c r="A17">
        <v>2016</v>
      </c>
      <c r="B17" t="s">
        <v>41</v>
      </c>
      <c r="C17" t="s">
        <v>36</v>
      </c>
      <c r="D17" t="s">
        <v>23</v>
      </c>
      <c r="E17" t="s">
        <v>28</v>
      </c>
      <c r="F17" t="s">
        <v>20</v>
      </c>
      <c r="G17" t="s">
        <v>15</v>
      </c>
      <c r="H17">
        <v>1</v>
      </c>
      <c r="I17">
        <v>320</v>
      </c>
      <c r="J17">
        <v>320</v>
      </c>
      <c r="K17" t="s">
        <v>21</v>
      </c>
    </row>
    <row r="18" spans="1:11" x14ac:dyDescent="0.35">
      <c r="A18">
        <v>2017</v>
      </c>
      <c r="B18" t="s">
        <v>42</v>
      </c>
      <c r="C18" t="s">
        <v>11</v>
      </c>
      <c r="D18" t="s">
        <v>12</v>
      </c>
      <c r="E18" t="s">
        <v>13</v>
      </c>
      <c r="F18" t="s">
        <v>37</v>
      </c>
      <c r="G18" t="s">
        <v>25</v>
      </c>
      <c r="H18">
        <v>1</v>
      </c>
      <c r="I18">
        <v>950</v>
      </c>
      <c r="J18">
        <v>950</v>
      </c>
      <c r="K18" t="s">
        <v>26</v>
      </c>
    </row>
    <row r="19" spans="1:11" x14ac:dyDescent="0.35">
      <c r="A19">
        <v>2018</v>
      </c>
      <c r="B19" t="s">
        <v>43</v>
      </c>
      <c r="C19" t="s">
        <v>17</v>
      </c>
      <c r="D19" t="s">
        <v>18</v>
      </c>
      <c r="E19" t="s">
        <v>19</v>
      </c>
      <c r="F19" t="s">
        <v>29</v>
      </c>
      <c r="G19" t="s">
        <v>30</v>
      </c>
      <c r="H19">
        <v>6</v>
      </c>
      <c r="I19">
        <v>30</v>
      </c>
      <c r="J19">
        <v>180</v>
      </c>
      <c r="K19" t="s">
        <v>16</v>
      </c>
    </row>
    <row r="20" spans="1:11" x14ac:dyDescent="0.35">
      <c r="A20">
        <v>2019</v>
      </c>
      <c r="B20" t="s">
        <v>44</v>
      </c>
      <c r="C20" t="s">
        <v>22</v>
      </c>
      <c r="D20" t="s">
        <v>23</v>
      </c>
      <c r="E20" t="s">
        <v>28</v>
      </c>
      <c r="F20" t="s">
        <v>14</v>
      </c>
      <c r="G20" t="s">
        <v>15</v>
      </c>
      <c r="H20">
        <v>1</v>
      </c>
      <c r="I20">
        <v>850</v>
      </c>
      <c r="J20">
        <v>850</v>
      </c>
      <c r="K20" t="s">
        <v>21</v>
      </c>
    </row>
    <row r="21" spans="1:11" x14ac:dyDescent="0.35">
      <c r="A21">
        <v>2020</v>
      </c>
      <c r="B21" t="s">
        <v>45</v>
      </c>
      <c r="C21" t="s">
        <v>27</v>
      </c>
      <c r="D21" t="s">
        <v>12</v>
      </c>
      <c r="E21" t="s">
        <v>13</v>
      </c>
      <c r="F21" t="s">
        <v>20</v>
      </c>
      <c r="G21" t="s">
        <v>15</v>
      </c>
      <c r="H21">
        <v>2</v>
      </c>
      <c r="I21">
        <v>320</v>
      </c>
      <c r="J21">
        <v>640</v>
      </c>
      <c r="K21"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F2C89-A338-4208-B7D7-9D3343AC4C23}">
  <dimension ref="A1:Y33"/>
  <sheetViews>
    <sheetView zoomScale="120" zoomScaleNormal="120" workbookViewId="0">
      <selection sqref="A1:K21"/>
    </sheetView>
  </sheetViews>
  <sheetFormatPr defaultRowHeight="14.5" x14ac:dyDescent="0.35"/>
  <cols>
    <col min="1" max="1" width="8.08984375" bestFit="1" customWidth="1"/>
    <col min="2" max="2" width="10.08984375" bestFit="1" customWidth="1"/>
    <col min="3" max="3" width="17.90625" bestFit="1" customWidth="1"/>
    <col min="4" max="4" width="10.08984375" bestFit="1" customWidth="1"/>
    <col min="5" max="5" width="11.08984375" bestFit="1" customWidth="1"/>
    <col min="6" max="6" width="15.08984375" bestFit="1" customWidth="1"/>
    <col min="7" max="7" width="9.90625" bestFit="1" customWidth="1"/>
    <col min="8" max="8" width="8" bestFit="1" customWidth="1"/>
    <col min="9" max="10" width="11.54296875" bestFit="1" customWidth="1"/>
    <col min="11" max="11" width="15.36328125" bestFit="1" customWidth="1"/>
    <col min="13" max="13" width="17.90625" style="7" bestFit="1" customWidth="1"/>
    <col min="14" max="14" width="11.54296875" style="7" bestFit="1" customWidth="1"/>
    <col min="15" max="15" width="14.81640625" bestFit="1" customWidth="1"/>
    <col min="16" max="16" width="18.26953125" bestFit="1" customWidth="1"/>
    <col min="17" max="17" width="11.54296875" bestFit="1" customWidth="1"/>
    <col min="18" max="18" width="15.08984375" bestFit="1" customWidth="1"/>
    <col min="19" max="19" width="8.1796875" bestFit="1" customWidth="1"/>
    <col min="20" max="20" width="8" bestFit="1" customWidth="1"/>
    <col min="21" max="21" width="9.453125" bestFit="1" customWidth="1"/>
    <col min="22" max="22" width="8.08984375" bestFit="1" customWidth="1"/>
    <col min="23" max="23" width="15.36328125" bestFit="1" customWidth="1"/>
  </cols>
  <sheetData>
    <row r="1" spans="1:25" x14ac:dyDescent="0.35">
      <c r="A1" s="3" t="s">
        <v>0</v>
      </c>
      <c r="B1" s="3" t="s">
        <v>1</v>
      </c>
      <c r="C1" s="3" t="s">
        <v>2</v>
      </c>
      <c r="D1" s="3" t="s">
        <v>3</v>
      </c>
      <c r="E1" s="3" t="s">
        <v>4</v>
      </c>
      <c r="F1" s="3" t="s">
        <v>5</v>
      </c>
      <c r="G1" s="3" t="s">
        <v>6</v>
      </c>
      <c r="H1" s="3" t="s">
        <v>7</v>
      </c>
      <c r="I1" s="3" t="s">
        <v>8</v>
      </c>
      <c r="J1" s="3" t="s">
        <v>9</v>
      </c>
      <c r="K1" s="3" t="s">
        <v>10</v>
      </c>
      <c r="M1" s="3" t="s">
        <v>5</v>
      </c>
      <c r="N1" s="3"/>
      <c r="O1" s="8"/>
      <c r="P1" s="3" t="s">
        <v>4</v>
      </c>
      <c r="Q1" s="3"/>
      <c r="R1" s="8"/>
      <c r="S1" s="8"/>
      <c r="T1" s="8"/>
      <c r="U1" s="8"/>
      <c r="V1" s="8"/>
      <c r="W1" s="8"/>
      <c r="X1" s="7"/>
      <c r="Y1" s="7"/>
    </row>
    <row r="2" spans="1:25" x14ac:dyDescent="0.35">
      <c r="A2" s="4">
        <v>2001</v>
      </c>
      <c r="B2" s="5">
        <v>45658</v>
      </c>
      <c r="C2" s="4" t="s">
        <v>11</v>
      </c>
      <c r="D2" s="4" t="s">
        <v>12</v>
      </c>
      <c r="E2" s="4" t="s">
        <v>13</v>
      </c>
      <c r="F2" s="4" t="s">
        <v>14</v>
      </c>
      <c r="G2" s="4" t="s">
        <v>15</v>
      </c>
      <c r="H2" s="4">
        <v>1</v>
      </c>
      <c r="I2" s="6">
        <v>850</v>
      </c>
      <c r="J2" s="6">
        <v>850</v>
      </c>
      <c r="K2" s="4" t="s">
        <v>16</v>
      </c>
      <c r="M2" s="4" t="s">
        <v>14</v>
      </c>
      <c r="N2" s="6">
        <v>5100</v>
      </c>
      <c r="P2" s="4" t="s">
        <v>13</v>
      </c>
      <c r="Q2" s="6">
        <v>6940</v>
      </c>
      <c r="R2" s="11"/>
    </row>
    <row r="3" spans="1:25" x14ac:dyDescent="0.35">
      <c r="A3" s="4">
        <v>2002</v>
      </c>
      <c r="B3" s="5">
        <v>45689</v>
      </c>
      <c r="C3" s="4" t="s">
        <v>17</v>
      </c>
      <c r="D3" s="4" t="s">
        <v>18</v>
      </c>
      <c r="E3" s="4" t="s">
        <v>19</v>
      </c>
      <c r="F3" s="4" t="s">
        <v>20</v>
      </c>
      <c r="G3" s="4" t="s">
        <v>15</v>
      </c>
      <c r="H3" s="4">
        <v>2</v>
      </c>
      <c r="I3" s="6">
        <v>320</v>
      </c>
      <c r="J3" s="6">
        <v>640</v>
      </c>
      <c r="K3" s="4" t="s">
        <v>21</v>
      </c>
      <c r="M3" s="4" t="s">
        <v>20</v>
      </c>
      <c r="N3" s="6">
        <v>3200</v>
      </c>
      <c r="P3" s="4" t="s">
        <v>19</v>
      </c>
      <c r="Q3" s="6">
        <v>2330</v>
      </c>
      <c r="R3" s="11"/>
    </row>
    <row r="4" spans="1:25" x14ac:dyDescent="0.35">
      <c r="A4" s="4">
        <v>2003</v>
      </c>
      <c r="B4" s="5">
        <v>45717</v>
      </c>
      <c r="C4" s="4" t="s">
        <v>22</v>
      </c>
      <c r="D4" s="4" t="s">
        <v>23</v>
      </c>
      <c r="E4" s="4" t="s">
        <v>13</v>
      </c>
      <c r="F4" s="4" t="s">
        <v>24</v>
      </c>
      <c r="G4" s="4" t="s">
        <v>25</v>
      </c>
      <c r="H4" s="4">
        <v>1</v>
      </c>
      <c r="I4" s="6">
        <v>1200</v>
      </c>
      <c r="J4" s="6">
        <v>1200</v>
      </c>
      <c r="K4" s="4" t="s">
        <v>26</v>
      </c>
      <c r="M4" s="4" t="s">
        <v>24</v>
      </c>
      <c r="N4" s="6">
        <v>2400</v>
      </c>
      <c r="P4" s="4" t="s">
        <v>28</v>
      </c>
      <c r="Q4" s="6">
        <v>4330</v>
      </c>
      <c r="R4" s="11"/>
    </row>
    <row r="5" spans="1:25" x14ac:dyDescent="0.35">
      <c r="A5" s="4">
        <v>2004</v>
      </c>
      <c r="B5" s="5">
        <v>45748</v>
      </c>
      <c r="C5" s="4" t="s">
        <v>27</v>
      </c>
      <c r="D5" s="4" t="s">
        <v>12</v>
      </c>
      <c r="E5" s="4" t="s">
        <v>28</v>
      </c>
      <c r="F5" s="4" t="s">
        <v>29</v>
      </c>
      <c r="G5" s="4" t="s">
        <v>30</v>
      </c>
      <c r="H5" s="4">
        <v>5</v>
      </c>
      <c r="I5" s="6">
        <v>30</v>
      </c>
      <c r="J5" s="6">
        <v>150</v>
      </c>
      <c r="K5" s="4" t="s">
        <v>16</v>
      </c>
      <c r="N5" s="9"/>
      <c r="R5" s="7"/>
    </row>
    <row r="6" spans="1:25" x14ac:dyDescent="0.35">
      <c r="A6" s="4">
        <v>2005</v>
      </c>
      <c r="B6" s="5">
        <v>45778</v>
      </c>
      <c r="C6" s="4" t="s">
        <v>31</v>
      </c>
      <c r="D6" s="4" t="s">
        <v>32</v>
      </c>
      <c r="E6" s="4" t="s">
        <v>19</v>
      </c>
      <c r="F6" s="4" t="s">
        <v>33</v>
      </c>
      <c r="G6" s="4" t="s">
        <v>30</v>
      </c>
      <c r="H6" s="4">
        <v>3</v>
      </c>
      <c r="I6" s="6">
        <v>55</v>
      </c>
      <c r="J6" s="6">
        <v>165</v>
      </c>
      <c r="K6" s="4" t="s">
        <v>21</v>
      </c>
      <c r="M6" s="4" t="s">
        <v>46</v>
      </c>
      <c r="N6" s="10">
        <v>13600</v>
      </c>
      <c r="P6" s="3" t="s">
        <v>10</v>
      </c>
      <c r="Q6" s="4"/>
    </row>
    <row r="7" spans="1:25" x14ac:dyDescent="0.35">
      <c r="A7" s="4">
        <v>2006</v>
      </c>
      <c r="B7" s="5">
        <v>45809</v>
      </c>
      <c r="C7" s="4" t="s">
        <v>34</v>
      </c>
      <c r="D7" s="4" t="s">
        <v>18</v>
      </c>
      <c r="E7" s="4" t="s">
        <v>13</v>
      </c>
      <c r="F7" s="4" t="s">
        <v>14</v>
      </c>
      <c r="G7" s="4" t="s">
        <v>15</v>
      </c>
      <c r="H7" s="4">
        <v>1</v>
      </c>
      <c r="I7" s="6">
        <v>850</v>
      </c>
      <c r="J7" s="6">
        <v>850</v>
      </c>
      <c r="K7" s="4" t="s">
        <v>26</v>
      </c>
      <c r="M7" s="4" t="s">
        <v>47</v>
      </c>
      <c r="N7" s="3">
        <v>20</v>
      </c>
      <c r="P7" s="4" t="s">
        <v>16</v>
      </c>
      <c r="Q7" s="4">
        <v>7</v>
      </c>
    </row>
    <row r="8" spans="1:25" x14ac:dyDescent="0.35">
      <c r="A8" s="4">
        <v>2007</v>
      </c>
      <c r="B8" s="5">
        <v>45839</v>
      </c>
      <c r="C8" s="4" t="s">
        <v>35</v>
      </c>
      <c r="D8" s="4" t="s">
        <v>12</v>
      </c>
      <c r="E8" s="4" t="s">
        <v>28</v>
      </c>
      <c r="F8" s="4" t="s">
        <v>20</v>
      </c>
      <c r="G8" s="4" t="s">
        <v>15</v>
      </c>
      <c r="H8" s="4">
        <v>3</v>
      </c>
      <c r="I8" s="6">
        <v>320</v>
      </c>
      <c r="J8" s="6">
        <v>960</v>
      </c>
      <c r="K8" s="4" t="s">
        <v>16</v>
      </c>
      <c r="M8" s="4" t="s">
        <v>48</v>
      </c>
      <c r="N8" s="3">
        <v>10</v>
      </c>
      <c r="P8" s="4" t="s">
        <v>21</v>
      </c>
      <c r="Q8" s="4">
        <v>7</v>
      </c>
    </row>
    <row r="9" spans="1:25" x14ac:dyDescent="0.35">
      <c r="A9" s="4">
        <v>2008</v>
      </c>
      <c r="B9" s="5">
        <v>45870</v>
      </c>
      <c r="C9" s="4" t="s">
        <v>36</v>
      </c>
      <c r="D9" s="4" t="s">
        <v>23</v>
      </c>
      <c r="E9" s="4" t="s">
        <v>19</v>
      </c>
      <c r="F9" s="4" t="s">
        <v>37</v>
      </c>
      <c r="G9" s="4" t="s">
        <v>25</v>
      </c>
      <c r="H9" s="4">
        <v>1</v>
      </c>
      <c r="I9" s="6">
        <v>950</v>
      </c>
      <c r="J9" s="6">
        <v>950</v>
      </c>
      <c r="K9" s="4" t="s">
        <v>21</v>
      </c>
      <c r="P9" s="4" t="s">
        <v>26</v>
      </c>
      <c r="Q9" s="4">
        <v>6</v>
      </c>
    </row>
    <row r="10" spans="1:25" x14ac:dyDescent="0.35">
      <c r="A10" s="4">
        <v>2009</v>
      </c>
      <c r="B10" s="5">
        <v>45901</v>
      </c>
      <c r="C10" s="4" t="s">
        <v>11</v>
      </c>
      <c r="D10" s="4" t="s">
        <v>12</v>
      </c>
      <c r="E10" s="4" t="s">
        <v>13</v>
      </c>
      <c r="F10" s="4" t="s">
        <v>33</v>
      </c>
      <c r="G10" s="4" t="s">
        <v>30</v>
      </c>
      <c r="H10" s="4">
        <v>2</v>
      </c>
      <c r="I10" s="6">
        <v>55</v>
      </c>
      <c r="J10" s="6">
        <v>110</v>
      </c>
      <c r="K10" s="4" t="s">
        <v>16</v>
      </c>
      <c r="M10" s="3" t="s">
        <v>6</v>
      </c>
      <c r="N10" s="4"/>
    </row>
    <row r="11" spans="1:25" x14ac:dyDescent="0.35">
      <c r="A11" s="4">
        <v>2010</v>
      </c>
      <c r="B11" s="5">
        <v>45931</v>
      </c>
      <c r="C11" s="4" t="s">
        <v>17</v>
      </c>
      <c r="D11" s="4" t="s">
        <v>18</v>
      </c>
      <c r="E11" s="4" t="s">
        <v>28</v>
      </c>
      <c r="F11" s="4" t="s">
        <v>14</v>
      </c>
      <c r="G11" s="4" t="s">
        <v>15</v>
      </c>
      <c r="H11" s="4">
        <v>1</v>
      </c>
      <c r="I11" s="6">
        <v>850</v>
      </c>
      <c r="J11" s="6">
        <v>850</v>
      </c>
      <c r="K11" s="4" t="s">
        <v>26</v>
      </c>
      <c r="M11" s="4" t="s">
        <v>15</v>
      </c>
      <c r="N11" s="6">
        <v>8300</v>
      </c>
      <c r="P11" s="2" t="s">
        <v>49</v>
      </c>
    </row>
    <row r="12" spans="1:25" x14ac:dyDescent="0.35">
      <c r="A12" s="4">
        <v>2011</v>
      </c>
      <c r="B12" s="5">
        <v>45962</v>
      </c>
      <c r="C12" s="4" t="s">
        <v>22</v>
      </c>
      <c r="D12" s="4" t="s">
        <v>23</v>
      </c>
      <c r="E12" s="4" t="s">
        <v>13</v>
      </c>
      <c r="F12" s="4" t="s">
        <v>20</v>
      </c>
      <c r="G12" s="4" t="s">
        <v>15</v>
      </c>
      <c r="H12" s="4">
        <v>2</v>
      </c>
      <c r="I12" s="6">
        <v>320</v>
      </c>
      <c r="J12" s="6">
        <v>640</v>
      </c>
      <c r="K12" s="4" t="s">
        <v>21</v>
      </c>
      <c r="N12" s="9"/>
      <c r="P12" s="4" t="s">
        <v>16</v>
      </c>
      <c r="Q12" s="4">
        <v>7</v>
      </c>
    </row>
    <row r="13" spans="1:25" x14ac:dyDescent="0.35">
      <c r="A13" s="4">
        <v>2012</v>
      </c>
      <c r="B13" s="5">
        <v>45992</v>
      </c>
      <c r="C13" s="4" t="s">
        <v>27</v>
      </c>
      <c r="D13" s="4" t="s">
        <v>12</v>
      </c>
      <c r="E13" s="4" t="s">
        <v>19</v>
      </c>
      <c r="F13" s="4" t="s">
        <v>29</v>
      </c>
      <c r="G13" s="4" t="s">
        <v>30</v>
      </c>
      <c r="H13" s="4">
        <v>4</v>
      </c>
      <c r="I13" s="6">
        <v>30</v>
      </c>
      <c r="J13" s="6">
        <v>120</v>
      </c>
      <c r="K13" s="4" t="s">
        <v>16</v>
      </c>
      <c r="M13" s="3" t="s">
        <v>3</v>
      </c>
      <c r="N13" s="6"/>
    </row>
    <row r="14" spans="1:25" x14ac:dyDescent="0.35">
      <c r="A14" s="4">
        <v>2013</v>
      </c>
      <c r="B14" s="5" t="s">
        <v>38</v>
      </c>
      <c r="C14" s="4" t="s">
        <v>31</v>
      </c>
      <c r="D14" s="4" t="s">
        <v>32</v>
      </c>
      <c r="E14" s="4" t="s">
        <v>28</v>
      </c>
      <c r="F14" s="4" t="s">
        <v>24</v>
      </c>
      <c r="G14" s="4" t="s">
        <v>25</v>
      </c>
      <c r="H14" s="4">
        <v>1</v>
      </c>
      <c r="I14" s="6">
        <v>1200</v>
      </c>
      <c r="J14" s="6">
        <v>1200</v>
      </c>
      <c r="K14" s="4" t="s">
        <v>21</v>
      </c>
      <c r="M14" s="4" t="s">
        <v>18</v>
      </c>
      <c r="N14" s="6">
        <v>4220</v>
      </c>
    </row>
    <row r="15" spans="1:25" x14ac:dyDescent="0.35">
      <c r="A15" s="4">
        <v>2014</v>
      </c>
      <c r="B15" s="5" t="s">
        <v>39</v>
      </c>
      <c r="C15" s="4" t="s">
        <v>34</v>
      </c>
      <c r="D15" s="4" t="s">
        <v>18</v>
      </c>
      <c r="E15" s="4" t="s">
        <v>13</v>
      </c>
      <c r="F15" s="4" t="s">
        <v>14</v>
      </c>
      <c r="G15" s="4" t="s">
        <v>15</v>
      </c>
      <c r="H15" s="4">
        <v>2</v>
      </c>
      <c r="I15" s="6">
        <v>850</v>
      </c>
      <c r="J15" s="6">
        <v>1700</v>
      </c>
      <c r="K15" s="4" t="s">
        <v>26</v>
      </c>
      <c r="M15" s="4" t="s">
        <v>12</v>
      </c>
      <c r="N15" s="6">
        <v>4055</v>
      </c>
    </row>
    <row r="16" spans="1:25" x14ac:dyDescent="0.35">
      <c r="A16" s="4">
        <v>2015</v>
      </c>
      <c r="B16" s="5" t="s">
        <v>40</v>
      </c>
      <c r="C16" s="4" t="s">
        <v>35</v>
      </c>
      <c r="D16" s="4" t="s">
        <v>12</v>
      </c>
      <c r="E16" s="4" t="s">
        <v>19</v>
      </c>
      <c r="F16" s="4" t="s">
        <v>33</v>
      </c>
      <c r="G16" s="4" t="s">
        <v>30</v>
      </c>
      <c r="H16" s="4">
        <v>5</v>
      </c>
      <c r="I16" s="6">
        <v>55</v>
      </c>
      <c r="J16" s="6">
        <v>275</v>
      </c>
      <c r="K16" s="4" t="s">
        <v>16</v>
      </c>
      <c r="M16" s="4" t="s">
        <v>23</v>
      </c>
      <c r="N16" s="6">
        <v>3960</v>
      </c>
    </row>
    <row r="17" spans="1:14" x14ac:dyDescent="0.35">
      <c r="A17" s="4">
        <v>2016</v>
      </c>
      <c r="B17" s="5" t="s">
        <v>41</v>
      </c>
      <c r="C17" s="4" t="s">
        <v>36</v>
      </c>
      <c r="D17" s="4" t="s">
        <v>23</v>
      </c>
      <c r="E17" s="4" t="s">
        <v>28</v>
      </c>
      <c r="F17" s="4" t="s">
        <v>20</v>
      </c>
      <c r="G17" s="4" t="s">
        <v>15</v>
      </c>
      <c r="H17" s="4">
        <v>1</v>
      </c>
      <c r="I17" s="6">
        <v>320</v>
      </c>
      <c r="J17" s="6">
        <v>320</v>
      </c>
      <c r="K17" s="4" t="s">
        <v>21</v>
      </c>
      <c r="M17" s="4" t="s">
        <v>32</v>
      </c>
      <c r="N17" s="6">
        <v>1365</v>
      </c>
    </row>
    <row r="18" spans="1:14" x14ac:dyDescent="0.35">
      <c r="A18" s="4">
        <v>2017</v>
      </c>
      <c r="B18" s="5" t="s">
        <v>42</v>
      </c>
      <c r="C18" s="4" t="s">
        <v>11</v>
      </c>
      <c r="D18" s="4" t="s">
        <v>12</v>
      </c>
      <c r="E18" s="4" t="s">
        <v>13</v>
      </c>
      <c r="F18" s="4" t="s">
        <v>37</v>
      </c>
      <c r="G18" s="4" t="s">
        <v>25</v>
      </c>
      <c r="H18" s="4">
        <v>1</v>
      </c>
      <c r="I18" s="6">
        <v>950</v>
      </c>
      <c r="J18" s="6">
        <v>950</v>
      </c>
      <c r="K18" s="4" t="s">
        <v>26</v>
      </c>
      <c r="M18"/>
      <c r="N18" s="9"/>
    </row>
    <row r="19" spans="1:14" x14ac:dyDescent="0.35">
      <c r="A19" s="4">
        <v>2018</v>
      </c>
      <c r="B19" s="5" t="s">
        <v>43</v>
      </c>
      <c r="C19" s="4" t="s">
        <v>17</v>
      </c>
      <c r="D19" s="4" t="s">
        <v>18</v>
      </c>
      <c r="E19" s="4" t="s">
        <v>19</v>
      </c>
      <c r="F19" s="4" t="s">
        <v>29</v>
      </c>
      <c r="G19" s="4" t="s">
        <v>30</v>
      </c>
      <c r="H19" s="4">
        <v>6</v>
      </c>
      <c r="I19" s="6">
        <v>30</v>
      </c>
      <c r="J19" s="6">
        <v>180</v>
      </c>
      <c r="K19" s="4" t="s">
        <v>16</v>
      </c>
      <c r="M19"/>
    </row>
    <row r="20" spans="1:14" x14ac:dyDescent="0.35">
      <c r="A20" s="4">
        <v>2019</v>
      </c>
      <c r="B20" s="5" t="s">
        <v>44</v>
      </c>
      <c r="C20" s="4" t="s">
        <v>22</v>
      </c>
      <c r="D20" s="4" t="s">
        <v>23</v>
      </c>
      <c r="E20" s="4" t="s">
        <v>28</v>
      </c>
      <c r="F20" s="4" t="s">
        <v>14</v>
      </c>
      <c r="G20" s="4" t="s">
        <v>15</v>
      </c>
      <c r="H20" s="4">
        <v>1</v>
      </c>
      <c r="I20" s="6">
        <v>850</v>
      </c>
      <c r="J20" s="6">
        <v>850</v>
      </c>
      <c r="K20" s="4" t="s">
        <v>21</v>
      </c>
      <c r="M20"/>
    </row>
    <row r="21" spans="1:14" x14ac:dyDescent="0.35">
      <c r="A21" s="4">
        <v>2020</v>
      </c>
      <c r="B21" s="5" t="s">
        <v>45</v>
      </c>
      <c r="C21" s="4" t="s">
        <v>27</v>
      </c>
      <c r="D21" s="4" t="s">
        <v>12</v>
      </c>
      <c r="E21" s="4" t="s">
        <v>13</v>
      </c>
      <c r="F21" s="4" t="s">
        <v>20</v>
      </c>
      <c r="G21" s="4" t="s">
        <v>15</v>
      </c>
      <c r="H21" s="4">
        <v>2</v>
      </c>
      <c r="I21" s="6">
        <v>320</v>
      </c>
      <c r="J21" s="6">
        <v>640</v>
      </c>
      <c r="K21" s="4" t="s">
        <v>26</v>
      </c>
      <c r="M21"/>
    </row>
    <row r="22" spans="1:14" x14ac:dyDescent="0.35">
      <c r="M22"/>
    </row>
    <row r="23" spans="1:14" x14ac:dyDescent="0.35">
      <c r="M23"/>
    </row>
    <row r="24" spans="1:14" x14ac:dyDescent="0.35">
      <c r="M24"/>
    </row>
    <row r="25" spans="1:14" x14ac:dyDescent="0.35">
      <c r="M25"/>
    </row>
    <row r="26" spans="1:14" x14ac:dyDescent="0.35">
      <c r="M26"/>
    </row>
    <row r="27" spans="1:14" x14ac:dyDescent="0.35">
      <c r="M27"/>
    </row>
    <row r="28" spans="1:14" x14ac:dyDescent="0.35">
      <c r="M28"/>
    </row>
    <row r="29" spans="1:14" x14ac:dyDescent="0.35">
      <c r="M29"/>
    </row>
    <row r="30" spans="1:14" x14ac:dyDescent="0.35">
      <c r="M30"/>
    </row>
    <row r="31" spans="1:14" x14ac:dyDescent="0.35">
      <c r="M31"/>
    </row>
    <row r="32" spans="1:14" x14ac:dyDescent="0.35">
      <c r="M32"/>
    </row>
    <row r="33" spans="13:13" x14ac:dyDescent="0.35">
      <c r="M33"/>
    </row>
  </sheetData>
  <sortState xmlns:xlrd2="http://schemas.microsoft.com/office/spreadsheetml/2017/richdata2" ref="M14:N17">
    <sortCondition descending="1" ref="N14:N17"/>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4BA50-FD27-4FDC-BD56-4FBC240E7AF0}">
  <dimension ref="A1:M28"/>
  <sheetViews>
    <sheetView zoomScale="130" zoomScaleNormal="130" workbookViewId="0"/>
  </sheetViews>
  <sheetFormatPr defaultRowHeight="14.5" x14ac:dyDescent="0.35"/>
  <cols>
    <col min="1" max="1" width="15.08984375" bestFit="1" customWidth="1"/>
    <col min="2" max="2" width="12.6328125" customWidth="1"/>
    <col min="5" max="5" width="10" bestFit="1" customWidth="1"/>
    <col min="6" max="6" width="9.1796875" bestFit="1" customWidth="1"/>
    <col min="7" max="7" width="9.90625" bestFit="1" customWidth="1"/>
    <col min="8" max="8" width="9" bestFit="1" customWidth="1"/>
    <col min="9" max="9" width="9.6328125" bestFit="1" customWidth="1"/>
    <col min="10" max="10" width="9.1796875" bestFit="1" customWidth="1"/>
  </cols>
  <sheetData>
    <row r="1" spans="1:13" ht="58.5" customHeight="1" x14ac:dyDescent="0.35"/>
    <row r="2" spans="1:13" ht="48.5" customHeight="1" x14ac:dyDescent="0.35">
      <c r="A2" s="28" t="s">
        <v>50</v>
      </c>
      <c r="B2" s="28"/>
      <c r="C2" s="28"/>
      <c r="D2" s="28"/>
      <c r="E2" s="28"/>
      <c r="F2" s="28"/>
      <c r="G2" s="28"/>
      <c r="H2" s="28"/>
      <c r="I2" s="28"/>
      <c r="J2" s="28"/>
      <c r="K2" s="28"/>
      <c r="L2" s="28"/>
      <c r="M2" s="28"/>
    </row>
    <row r="3" spans="1:13" x14ac:dyDescent="0.35">
      <c r="A3" s="12"/>
      <c r="B3" s="12"/>
      <c r="C3" s="12"/>
      <c r="D3" s="12"/>
      <c r="E3" s="12"/>
      <c r="F3" s="12"/>
      <c r="G3" s="12"/>
      <c r="H3" s="12"/>
      <c r="I3" s="19" t="s">
        <v>3</v>
      </c>
      <c r="J3" s="20"/>
      <c r="K3" s="12"/>
      <c r="L3" s="12"/>
      <c r="M3" s="12"/>
    </row>
    <row r="4" spans="1:13" x14ac:dyDescent="0.35">
      <c r="A4" s="13" t="s">
        <v>5</v>
      </c>
      <c r="B4" s="13"/>
      <c r="C4" s="12"/>
      <c r="D4" s="12"/>
      <c r="E4" s="12"/>
      <c r="F4" s="12"/>
      <c r="G4" s="12"/>
      <c r="H4" s="12"/>
      <c r="I4" s="21" t="s">
        <v>18</v>
      </c>
      <c r="J4" s="20">
        <v>4220</v>
      </c>
      <c r="K4" s="12"/>
      <c r="L4" s="12"/>
      <c r="M4" s="12"/>
    </row>
    <row r="5" spans="1:13" x14ac:dyDescent="0.35">
      <c r="A5" s="14" t="s">
        <v>14</v>
      </c>
      <c r="B5" s="15">
        <v>5100</v>
      </c>
      <c r="C5" s="12"/>
      <c r="D5" s="12"/>
      <c r="E5" s="16" t="s">
        <v>6</v>
      </c>
      <c r="F5" s="17"/>
      <c r="G5" s="12"/>
      <c r="H5" s="12"/>
      <c r="I5" s="21" t="s">
        <v>12</v>
      </c>
      <c r="J5" s="20">
        <v>4055</v>
      </c>
      <c r="K5" s="12"/>
      <c r="L5" s="12"/>
      <c r="M5" s="12"/>
    </row>
    <row r="6" spans="1:13" x14ac:dyDescent="0.35">
      <c r="A6" s="14" t="s">
        <v>20</v>
      </c>
      <c r="B6" s="15">
        <v>3200</v>
      </c>
      <c r="C6" s="12"/>
      <c r="D6" s="12"/>
      <c r="E6" s="17" t="s">
        <v>15</v>
      </c>
      <c r="F6" s="18">
        <v>8300</v>
      </c>
      <c r="G6" s="12"/>
      <c r="H6" s="12"/>
      <c r="I6" s="21" t="s">
        <v>23</v>
      </c>
      <c r="J6" s="20">
        <v>3960</v>
      </c>
      <c r="K6" s="12"/>
      <c r="L6" s="12"/>
      <c r="M6" s="12"/>
    </row>
    <row r="7" spans="1:13" x14ac:dyDescent="0.35">
      <c r="A7" s="14" t="s">
        <v>24</v>
      </c>
      <c r="B7" s="15">
        <v>2400</v>
      </c>
      <c r="C7" s="12"/>
      <c r="D7" s="12"/>
      <c r="E7" s="12"/>
      <c r="F7" s="12"/>
      <c r="G7" s="12"/>
      <c r="H7" s="12"/>
      <c r="I7" s="21" t="s">
        <v>32</v>
      </c>
      <c r="J7" s="20">
        <v>1365</v>
      </c>
      <c r="K7" s="12"/>
      <c r="L7" s="12"/>
      <c r="M7" s="12"/>
    </row>
    <row r="8" spans="1:13" x14ac:dyDescent="0.35">
      <c r="M8" s="12"/>
    </row>
    <row r="9" spans="1:13" x14ac:dyDescent="0.35">
      <c r="M9" s="12"/>
    </row>
    <row r="10" spans="1:13" x14ac:dyDescent="0.35">
      <c r="M10" s="12"/>
    </row>
    <row r="11" spans="1:13" x14ac:dyDescent="0.35">
      <c r="M11" s="12"/>
    </row>
    <row r="12" spans="1:13" x14ac:dyDescent="0.35">
      <c r="M12" s="12"/>
    </row>
    <row r="13" spans="1:13" x14ac:dyDescent="0.35">
      <c r="M13" s="12"/>
    </row>
    <row r="14" spans="1:13" x14ac:dyDescent="0.35">
      <c r="M14" s="12"/>
    </row>
    <row r="15" spans="1:13" x14ac:dyDescent="0.35">
      <c r="M15" s="12"/>
    </row>
    <row r="16" spans="1:13" x14ac:dyDescent="0.35">
      <c r="M16" s="12"/>
    </row>
    <row r="17" spans="1:13" x14ac:dyDescent="0.35">
      <c r="M17" s="12"/>
    </row>
    <row r="18" spans="1:13" x14ac:dyDescent="0.35">
      <c r="A18" s="12"/>
      <c r="B18" s="12"/>
      <c r="C18" s="12"/>
      <c r="D18" s="12"/>
      <c r="E18" s="12"/>
      <c r="F18" s="12"/>
      <c r="G18" s="12"/>
      <c r="H18" s="12"/>
      <c r="I18" s="12"/>
      <c r="J18" s="12"/>
      <c r="K18" s="12"/>
      <c r="L18" s="12"/>
      <c r="M18" s="12"/>
    </row>
    <row r="19" spans="1:13" x14ac:dyDescent="0.35">
      <c r="A19" s="12"/>
      <c r="B19" s="12"/>
      <c r="C19" s="12"/>
      <c r="D19" s="12"/>
      <c r="E19" s="12"/>
      <c r="F19" s="12"/>
      <c r="G19" s="12"/>
      <c r="H19" s="12"/>
      <c r="I19" s="12"/>
      <c r="J19" s="12"/>
      <c r="K19" s="12"/>
      <c r="L19" s="12"/>
      <c r="M19" s="12"/>
    </row>
    <row r="20" spans="1:13" x14ac:dyDescent="0.35">
      <c r="A20" s="12"/>
      <c r="B20" s="12"/>
      <c r="C20" s="12"/>
      <c r="D20" s="12"/>
      <c r="E20" s="12"/>
      <c r="F20" s="12"/>
      <c r="G20" s="12"/>
      <c r="H20" s="12"/>
      <c r="I20" s="12"/>
      <c r="J20" s="12"/>
      <c r="K20" s="12"/>
      <c r="L20" s="12"/>
      <c r="M20" s="12"/>
    </row>
    <row r="21" spans="1:13" x14ac:dyDescent="0.35">
      <c r="A21" s="12"/>
      <c r="B21" s="12"/>
      <c r="C21" s="12"/>
      <c r="D21" s="12"/>
      <c r="E21" s="12"/>
      <c r="F21" s="12"/>
      <c r="G21" s="12"/>
      <c r="H21" s="12"/>
      <c r="I21" s="12"/>
      <c r="J21" s="12"/>
      <c r="K21" s="12"/>
      <c r="L21" s="12"/>
      <c r="M21" s="12"/>
    </row>
    <row r="22" spans="1:13" x14ac:dyDescent="0.35">
      <c r="A22" s="22" t="s">
        <v>4</v>
      </c>
      <c r="B22" s="22"/>
      <c r="C22" s="12"/>
      <c r="D22" s="12"/>
      <c r="E22" s="12"/>
      <c r="F22" s="12"/>
      <c r="G22" s="12"/>
      <c r="H22" s="12"/>
      <c r="I22" s="12"/>
      <c r="J22" s="12"/>
      <c r="K22" s="12"/>
      <c r="L22" s="12"/>
      <c r="M22" s="12"/>
    </row>
    <row r="23" spans="1:13" x14ac:dyDescent="0.35">
      <c r="A23" s="23" t="s">
        <v>13</v>
      </c>
      <c r="B23" s="24">
        <v>6940</v>
      </c>
      <c r="C23" s="12"/>
      <c r="D23" s="12"/>
      <c r="E23" s="12"/>
      <c r="F23" s="12"/>
      <c r="G23" s="12"/>
      <c r="H23" s="12"/>
      <c r="I23" s="12"/>
      <c r="J23" s="12"/>
      <c r="K23" s="12"/>
      <c r="L23" s="12"/>
      <c r="M23" s="12"/>
    </row>
    <row r="24" spans="1:13" x14ac:dyDescent="0.35">
      <c r="A24" s="23" t="s">
        <v>19</v>
      </c>
      <c r="B24" s="24">
        <v>2330</v>
      </c>
      <c r="C24" s="12"/>
      <c r="D24" s="12"/>
      <c r="E24" s="12"/>
      <c r="F24" s="12"/>
      <c r="G24" s="12"/>
      <c r="H24" s="12"/>
      <c r="I24" s="12"/>
      <c r="J24" s="12"/>
      <c r="K24" s="12"/>
      <c r="L24" s="12"/>
      <c r="M24" s="12"/>
    </row>
    <row r="25" spans="1:13" x14ac:dyDescent="0.35">
      <c r="A25" s="23" t="s">
        <v>28</v>
      </c>
      <c r="B25" s="24">
        <v>4330</v>
      </c>
      <c r="C25" s="12"/>
      <c r="D25" s="12"/>
      <c r="E25" s="12"/>
      <c r="F25" s="12"/>
      <c r="G25" s="12"/>
      <c r="H25" s="12"/>
      <c r="I25" s="12"/>
      <c r="J25" s="12"/>
      <c r="K25" s="12"/>
      <c r="L25" s="12"/>
      <c r="M25" s="12"/>
    </row>
    <row r="26" spans="1:13" x14ac:dyDescent="0.35">
      <c r="A26" s="12"/>
      <c r="B26" s="12"/>
      <c r="C26" s="12"/>
      <c r="D26" s="12"/>
      <c r="E26" s="12"/>
      <c r="F26" s="12"/>
      <c r="G26" s="12"/>
      <c r="H26" s="12"/>
      <c r="I26" s="12"/>
      <c r="J26" s="12"/>
      <c r="K26" s="12"/>
      <c r="L26" s="12"/>
      <c r="M26" s="12"/>
    </row>
    <row r="27" spans="1:13" x14ac:dyDescent="0.35">
      <c r="A27" s="12"/>
      <c r="B27" s="12"/>
      <c r="C27" s="12"/>
      <c r="D27" s="12"/>
      <c r="E27" s="12"/>
      <c r="F27" s="12"/>
      <c r="G27" s="12"/>
      <c r="H27" s="12"/>
      <c r="I27" s="12"/>
      <c r="J27" s="12"/>
      <c r="K27" s="12"/>
      <c r="L27" s="12"/>
      <c r="M27" s="12"/>
    </row>
    <row r="28" spans="1:13" x14ac:dyDescent="0.35">
      <c r="A28" s="12"/>
      <c r="B28" s="12"/>
      <c r="C28" s="12"/>
      <c r="D28" s="12"/>
      <c r="E28" s="12"/>
      <c r="F28" s="12"/>
      <c r="G28" s="12"/>
      <c r="H28" s="12"/>
      <c r="I28" s="12"/>
      <c r="J28" s="12"/>
      <c r="K28" s="12"/>
      <c r="L28" s="12"/>
      <c r="M28" s="12"/>
    </row>
  </sheetData>
  <mergeCells count="1">
    <mergeCell ref="A2:M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331B6-2CC3-4D3A-A31F-BB7391AACEE6}">
  <dimension ref="A1:H10"/>
  <sheetViews>
    <sheetView tabSelected="1" zoomScale="120" zoomScaleNormal="120" workbookViewId="0">
      <selection activeCell="M3" sqref="M3"/>
    </sheetView>
  </sheetViews>
  <sheetFormatPr defaultRowHeight="14.5" x14ac:dyDescent="0.35"/>
  <cols>
    <col min="1" max="1" width="15.08984375" bestFit="1" customWidth="1"/>
    <col min="2" max="2" width="9" bestFit="1" customWidth="1"/>
    <col min="3" max="3" width="1.90625" customWidth="1"/>
    <col min="4" max="4" width="9.6328125" bestFit="1" customWidth="1"/>
    <col min="5" max="5" width="9" bestFit="1" customWidth="1"/>
    <col min="6" max="6" width="1.7265625" customWidth="1"/>
    <col min="7" max="7" width="13.36328125" bestFit="1" customWidth="1"/>
    <col min="8" max="9" width="14.36328125" bestFit="1" customWidth="1"/>
  </cols>
  <sheetData>
    <row r="1" spans="1:8" ht="27.5" customHeight="1" x14ac:dyDescent="0.35"/>
    <row r="2" spans="1:8" ht="48.5" customHeight="1" x14ac:dyDescent="0.35"/>
    <row r="4" spans="1:8" x14ac:dyDescent="0.35">
      <c r="A4" s="25" t="s">
        <v>5</v>
      </c>
      <c r="B4" t="s">
        <v>53</v>
      </c>
      <c r="D4" s="25" t="s">
        <v>3</v>
      </c>
      <c r="E4" t="s">
        <v>52</v>
      </c>
      <c r="G4" s="25" t="s">
        <v>4</v>
      </c>
      <c r="H4" t="s">
        <v>51</v>
      </c>
    </row>
    <row r="5" spans="1:8" x14ac:dyDescent="0.35">
      <c r="A5" s="26" t="s">
        <v>14</v>
      </c>
      <c r="B5" s="27">
        <v>4250</v>
      </c>
      <c r="D5" s="26" t="s">
        <v>32</v>
      </c>
      <c r="E5" s="27">
        <v>1365</v>
      </c>
      <c r="G5" s="26" t="s">
        <v>19</v>
      </c>
      <c r="H5" s="27">
        <v>2330</v>
      </c>
    </row>
    <row r="6" spans="1:8" x14ac:dyDescent="0.35">
      <c r="A6" s="26" t="s">
        <v>20</v>
      </c>
      <c r="B6" s="27">
        <v>1600</v>
      </c>
      <c r="D6" s="26" t="s">
        <v>23</v>
      </c>
      <c r="E6" s="27">
        <v>3960</v>
      </c>
      <c r="G6" s="26" t="s">
        <v>13</v>
      </c>
      <c r="H6" s="27">
        <v>6940</v>
      </c>
    </row>
    <row r="7" spans="1:8" x14ac:dyDescent="0.35">
      <c r="A7" s="26" t="s">
        <v>24</v>
      </c>
      <c r="B7" s="27">
        <v>2400</v>
      </c>
      <c r="D7" s="26" t="s">
        <v>18</v>
      </c>
      <c r="E7" s="27">
        <v>4220</v>
      </c>
      <c r="G7" s="26" t="s">
        <v>28</v>
      </c>
      <c r="H7" s="27">
        <v>4330</v>
      </c>
    </row>
    <row r="8" spans="1:8" x14ac:dyDescent="0.35">
      <c r="A8" s="26" t="s">
        <v>29</v>
      </c>
      <c r="B8" s="27">
        <v>90</v>
      </c>
      <c r="D8" s="26" t="s">
        <v>12</v>
      </c>
      <c r="E8" s="27">
        <v>4055</v>
      </c>
    </row>
    <row r="9" spans="1:8" x14ac:dyDescent="0.35">
      <c r="A9" s="26" t="s">
        <v>33</v>
      </c>
      <c r="B9" s="27">
        <v>165</v>
      </c>
    </row>
    <row r="10" spans="1:8" x14ac:dyDescent="0.35">
      <c r="A10" s="26" t="s">
        <v>37</v>
      </c>
      <c r="B10" s="27">
        <v>1900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vt:lpstr>
      <vt:lpstr>KPIs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irtizaabbas05@gmail.com</dc:creator>
  <cp:lastModifiedBy>irtizaabbas05@gmail.com</cp:lastModifiedBy>
  <dcterms:created xsi:type="dcterms:W3CDTF">2026-05-10T21:50:02Z</dcterms:created>
  <dcterms:modified xsi:type="dcterms:W3CDTF">2026-05-11T13:58:55Z</dcterms:modified>
</cp:coreProperties>
</file>