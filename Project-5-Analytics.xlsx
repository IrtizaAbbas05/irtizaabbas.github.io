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 Practice\"/>
    </mc:Choice>
  </mc:AlternateContent>
  <xr:revisionPtr revIDLastSave="0" documentId="13_ncr:1_{D02BFF95-1DBA-4B1C-B31B-9F06E26A361E}" xr6:coauthVersionLast="47" xr6:coauthVersionMax="47" xr10:uidLastSave="{00000000-0000-0000-0000-000000000000}"/>
  <bookViews>
    <workbookView xWindow="-110" yWindow="-110" windowWidth="19420" windowHeight="10420" xr2:uid="{237D45C3-0C51-4CD4-975F-E7400A41192E}"/>
  </bookViews>
  <sheets>
    <sheet name="Data" sheetId="1" r:id="rId1"/>
    <sheet name="DeepInsight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F13" i="1"/>
  <c r="J6" i="1"/>
  <c r="J10" i="1"/>
  <c r="H3" i="1"/>
  <c r="J3" i="1" s="1"/>
  <c r="H4" i="1"/>
  <c r="J4" i="1" s="1"/>
  <c r="H5" i="1"/>
  <c r="J5" i="1" s="1"/>
  <c r="H6" i="1"/>
  <c r="H7" i="1"/>
  <c r="J7" i="1" s="1"/>
  <c r="H8" i="1"/>
  <c r="J8" i="1" s="1"/>
  <c r="H9" i="1"/>
  <c r="J9" i="1" s="1"/>
  <c r="H10" i="1"/>
  <c r="H11" i="1"/>
  <c r="J11" i="1" s="1"/>
  <c r="H2" i="1"/>
  <c r="J2" i="1" s="1"/>
  <c r="F14" i="1" l="1"/>
</calcChain>
</file>

<file path=xl/sharedStrings.xml><?xml version="1.0" encoding="utf-8"?>
<sst xmlns="http://schemas.openxmlformats.org/spreadsheetml/2006/main" count="82" uniqueCount="33">
  <si>
    <t>Date</t>
  </si>
  <si>
    <t>Region</t>
  </si>
  <si>
    <t>Sales Rep</t>
  </si>
  <si>
    <t>Product</t>
  </si>
  <si>
    <t>Units Sold</t>
  </si>
  <si>
    <t>Revenue (PKR)</t>
  </si>
  <si>
    <t>Total Cost (PKR)</t>
  </si>
  <si>
    <t>Punjab</t>
  </si>
  <si>
    <t>Ali</t>
  </si>
  <si>
    <t>Eco-Clean</t>
  </si>
  <si>
    <t>15/01/2025</t>
  </si>
  <si>
    <t>Sindh</t>
  </si>
  <si>
    <t>Sana</t>
  </si>
  <si>
    <t>Bio-Solvent</t>
  </si>
  <si>
    <t>KPK</t>
  </si>
  <si>
    <t>Bilal</t>
  </si>
  <si>
    <t>Green-Acid</t>
  </si>
  <si>
    <t>Pure-Wash</t>
  </si>
  <si>
    <t>22/05/2025</t>
  </si>
  <si>
    <t>18/06/2025</t>
  </si>
  <si>
    <t>30/07/2025</t>
  </si>
  <si>
    <t>14/08/2025</t>
  </si>
  <si>
    <t>Profit (PKR)</t>
  </si>
  <si>
    <t>Profit Margin (%)</t>
  </si>
  <si>
    <t>Total Revenue</t>
  </si>
  <si>
    <t>Total Revenue:</t>
  </si>
  <si>
    <t>Total Profit</t>
  </si>
  <si>
    <t>Total Profit:</t>
  </si>
  <si>
    <t>Average Profit Margin:</t>
  </si>
  <si>
    <t>Profit Margin</t>
  </si>
  <si>
    <t>Grand Total</t>
  </si>
  <si>
    <t>Total Profit Margin</t>
  </si>
  <si>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0.227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</si>
</sst>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s-420]\ * #,##0_-;\-[$Rs-420]\ * #,##0_-;_-[$Rs-420]\ * &quot;-&quot;??_-;_-@_-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vertical="center" wrapText="1" readingOrder="1"/>
    </xf>
    <xf numFmtId="14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vertical="center" wrapText="1" readingOrder="1"/>
    </xf>
    <xf numFmtId="164" fontId="0" fillId="0" borderId="1" xfId="0" applyNumberFormat="1" applyBorder="1"/>
    <xf numFmtId="0" fontId="1" fillId="0" borderId="0" xfId="0" applyFont="1" applyFill="1"/>
    <xf numFmtId="164" fontId="0" fillId="0" borderId="0" xfId="0" applyNumberFormat="1"/>
    <xf numFmtId="165" fontId="0" fillId="0" borderId="0" xfId="0" applyNumberFormat="1"/>
    <xf numFmtId="9" fontId="0" fillId="0" borderId="2" xfId="0" applyNumberFormat="1" applyBorder="1"/>
    <xf numFmtId="0" fontId="1" fillId="0" borderId="0" xfId="0" applyFont="1" applyFill="1" applyBorder="1"/>
    <xf numFmtId="0" fontId="0" fillId="0" borderId="0" xfId="0" applyNumberFormat="1" applyFill="1" applyBorder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2" fontId="0" fillId="0" borderId="2" xfId="0" applyNumberFormat="1" applyBorder="1"/>
    <xf numFmtId="0" fontId="0" fillId="0" borderId="0" xfId="0" applyFill="1"/>
    <xf numFmtId="0" fontId="0" fillId="0" borderId="0" xfId="0" applyFill="1" applyAlignment="1">
      <alignment horizontal="left"/>
    </xf>
    <xf numFmtId="164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40"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numFmt numFmtId="16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[Project-5-Analytics.xlsx]DeepInsights!PivotTable1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FF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DeepInsights!$B$3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DeepInsights!$A$4:$A$7</c:f>
              <c:strCache>
                <c:ptCount val="3"/>
                <c:pt idx="0">
                  <c:v>Punjab</c:v>
                </c:pt>
                <c:pt idx="1">
                  <c:v>Sindh</c:v>
                </c:pt>
                <c:pt idx="2">
                  <c:v>KPK</c:v>
                </c:pt>
              </c:strCache>
            </c:strRef>
          </c:cat>
          <c:val>
            <c:numRef>
              <c:f>DeepInsights!$B$4:$B$7</c:f>
              <c:numCache>
                <c:formatCode>_-[$Rs-420]\ * #,##0_-;\-[$Rs-420]\ * #,##0_-;_-[$Rs-420]\ * "-"??_-;_-@_-</c:formatCode>
                <c:ptCount val="3"/>
                <c:pt idx="0">
                  <c:v>408000</c:v>
                </c:pt>
                <c:pt idx="1">
                  <c:v>361000</c:v>
                </c:pt>
                <c:pt idx="2">
                  <c:v>291000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A-48BA-AAAE-5FF674143B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7497759"/>
        <c:axId val="567498239"/>
      </c:barChart>
      <c:catAx>
        <c:axId val="567497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498239"/>
        <c:crosses val="autoZero"/>
        <c:auto val="1"/>
        <c:lblAlgn val="ctr"/>
        <c:lblOffset val="100"/>
        <c:noMultiLvlLbl val="0"/>
      </c:catAx>
      <c:valAx>
        <c:axId val="567498239"/>
        <c:scaling>
          <c:orientation val="minMax"/>
        </c:scaling>
        <c:delete val="1"/>
        <c:axPos val="b"/>
        <c:numFmt formatCode="_-[$Rs-420]\ * #,##0_-;\-[$Rs-420]\ * #,##0_-;_-[$Rs-420]\ * &quot;-&quot;??_-;_-@_-" sourceLinked="1"/>
        <c:majorTickMark val="none"/>
        <c:minorTickMark val="none"/>
        <c:tickLblPos val="nextTo"/>
        <c:crossAx val="56749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[Project-5-Analytics.xlsx]DeepInsights!PivotTable2</c:name>
    <c:fmtId val="0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DeepInsights!$E$3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DeepInsights!$D$4:$D$8</c:f>
              <c:strCache>
                <c:ptCount val="4"/>
                <c:pt idx="0">
                  <c:v>Eco-Clean</c:v>
                </c:pt>
                <c:pt idx="1">
                  <c:v>Bio-Solvent</c:v>
                </c:pt>
                <c:pt idx="2">
                  <c:v>Green-Acid</c:v>
                </c:pt>
                <c:pt idx="3">
                  <c:v>Pure-Wash</c:v>
                </c:pt>
              </c:strCache>
            </c:strRef>
          </c:cat>
          <c:val>
            <c:numRef>
              <c:f>DeepInsights!$E$4:$E$8</c:f>
              <c:numCache>
                <c:formatCode>_-[$Rs-420]\ * #,##0_-;\-[$Rs-420]\ * #,##0_-;_-[$Rs-420]\ * "-"??_-;_-@_-</c:formatCode>
                <c:ptCount val="4"/>
                <c:pt idx="0">
                  <c:v>510000</c:v>
                </c:pt>
                <c:pt idx="1">
                  <c:v>364000</c:v>
                </c:pt>
                <c:pt idx="2">
                  <c:v>115000</c:v>
                </c:pt>
                <c:pt idx="3">
                  <c:v>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D-4F5F-85E0-508F8D097B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442023183"/>
        <c:axId val="442026063"/>
      </c:barChart>
      <c:catAx>
        <c:axId val="4420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26063"/>
        <c:crosses val="autoZero"/>
        <c:auto val="1"/>
        <c:lblAlgn val="ctr"/>
        <c:lblOffset val="100"/>
        <c:noMultiLvlLbl val="0"/>
      </c:catAx>
      <c:valAx>
        <c:axId val="4420260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s-420]\ * #,##0_-;\-[$Rs-420]\ * #,##0_-;_-[$Rs-420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02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[Project-5-Analytics.xlsx]DeepInsights!PivotTable3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DeepInsights!$H$3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DeepInsights!$G$4:$G$8</c:f>
              <c:strCache>
                <c:ptCount val="4"/>
                <c:pt idx="0">
                  <c:v>Bio-Solvent</c:v>
                </c:pt>
                <c:pt idx="1">
                  <c:v>Eco-Clean</c:v>
                </c:pt>
                <c:pt idx="2">
                  <c:v>Green-Acid</c:v>
                </c:pt>
                <c:pt idx="3">
                  <c:v>Pure-Wash</c:v>
                </c:pt>
              </c:strCache>
            </c:strRef>
          </c:cat>
          <c:val>
            <c:numRef>
              <c:f>DeepInsights!$H$4:$H$8</c:f>
              <c:numCache>
                <c:formatCode>_-[$Rs-420]\ * #,##0_-;\-[$Rs-420]\ * #,##0_-;_-[$Rs-420]\ * "-"??_-;_-@_-</c:formatCode>
                <c:ptCount val="4"/>
                <c:pt idx="0">
                  <c:v>1920000</c:v>
                </c:pt>
                <c:pt idx="1">
                  <c:v>1650000</c:v>
                </c:pt>
                <c:pt idx="2">
                  <c:v>765000</c:v>
                </c:pt>
                <c:pt idx="3">
                  <c:v>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2-4033-9C6F-82C9DC3C1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571903"/>
        <c:axId val="579576223"/>
      </c:areaChart>
      <c:catAx>
        <c:axId val="579571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576223"/>
        <c:crosses val="autoZero"/>
        <c:auto val="1"/>
        <c:lblAlgn val="ctr"/>
        <c:lblOffset val="100"/>
        <c:noMultiLvlLbl val="0"/>
      </c:catAx>
      <c:valAx>
        <c:axId val="579576223"/>
        <c:scaling>
          <c:orientation val="minMax"/>
        </c:scaling>
        <c:delete val="1"/>
        <c:axPos val="l"/>
        <c:numFmt formatCode="_-[$Rs-420]\ * #,##0_-;\-[$Rs-420]\ * #,##0_-;_-[$Rs-420]\ * &quot;-&quot;??_-;_-@_-" sourceLinked="1"/>
        <c:majorTickMark val="none"/>
        <c:minorTickMark val="none"/>
        <c:tickLblPos val="nextTo"/>
        <c:crossAx val="57957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[Project-5-Analytics.xlsx]DeepInsights!PivotTable5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DeepInsights!$N$3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DeepInsights!$M$4:$M$7</c:f>
              <c:strCache>
                <c:ptCount val="3"/>
                <c:pt idx="0">
                  <c:v>Sana</c:v>
                </c:pt>
                <c:pt idx="1">
                  <c:v>Bilal</c:v>
                </c:pt>
                <c:pt idx="2">
                  <c:v>Ali</c:v>
                </c:pt>
              </c:strCache>
            </c:strRef>
          </c:cat>
          <c:val>
            <c:numRef>
              <c:f>DeepInsights!$N$4:$N$7</c:f>
              <c:numCache>
                <c:formatCode>_-[$Rs-420]\ * #,##0_-;\-[$Rs-420]\ * #,##0_-;_-[$Rs-420]\ * "-"??_-;_-@_-</c:formatCode>
                <c:ptCount val="3"/>
                <c:pt idx="0">
                  <c:v>2315000</c:v>
                </c:pt>
                <c:pt idx="1">
                  <c:v>1240000</c:v>
                </c:pt>
                <c:pt idx="2">
                  <c:v>1095000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5-4E73-8068-555EBC1CC52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[Project-5-Analytics.xlsx]DeepInsights!PivotTable4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DeepInsights!$K$3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DeepInsights!$J$4:$J$8</c:f>
              <c:strCache>
                <c:ptCount val="4"/>
                <c:pt idx="0">
                  <c:v>Green-Acid</c:v>
                </c:pt>
                <c:pt idx="1">
                  <c:v>Pure-Wash</c:v>
                </c:pt>
                <c:pt idx="2">
                  <c:v>Bio-Solvent</c:v>
                </c:pt>
                <c:pt idx="3">
                  <c:v>Eco-Clean</c:v>
                </c:pt>
              </c:strCache>
            </c:strRef>
          </c:cat>
          <c:val>
            <c:numRef>
              <c:f>DeepInsights!$K$4:$K$8</c:f>
              <c:numCache>
                <c:formatCode>0.000</c:formatCode>
                <c:ptCount val="4"/>
                <c:pt idx="0">
                  <c:v>0.30645161290322576</c:v>
                </c:pt>
                <c:pt idx="1">
                  <c:v>0.45925925925925926</c:v>
                </c:pt>
                <c:pt idx="2">
                  <c:v>0.55000000000000004</c:v>
                </c:pt>
                <c:pt idx="3">
                  <c:v>0.93333333333333335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8-491F-B7EF-3D28BCA1B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288943"/>
        <c:axId val="440281743"/>
      </c:lineChart>
      <c:catAx>
        <c:axId val="4402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81743"/>
        <c:crosses val="autoZero"/>
        <c:auto val="1"/>
        <c:lblAlgn val="ctr"/>
        <c:lblOffset val="100"/>
        <c:noMultiLvlLbl val="0"/>
      </c:catAx>
      <c:valAx>
        <c:axId val="4402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8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8</xdr:row>
      <xdr:rowOff>18076</xdr:rowOff>
    </xdr:from>
    <xdr:to>
      <xdr:col>4</xdr:col>
      <xdr:colOff>4885</xdr:colOff>
      <xdr:row>17</xdr:row>
      <xdr:rowOff>43961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F5EE1-86A5-B2E0-099E-CC79DAE43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26865</xdr:colOff>
      <xdr:row>8</xdr:row>
      <xdr:rowOff>14654</xdr:rowOff>
    </xdr:from>
    <xdr:to>
      <xdr:col>9</xdr:col>
      <xdr:colOff>328084</xdr:colOff>
      <xdr:row>17</xdr:row>
      <xdr:rowOff>43961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E3874-9A0C-E0EC-0E0B-79BB52D7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41926</xdr:colOff>
      <xdr:row>17</xdr:row>
      <xdr:rowOff>76524</xdr:rowOff>
    </xdr:from>
    <xdr:to>
      <xdr:col>9</xdr:col>
      <xdr:colOff>343960</xdr:colOff>
      <xdr:row>27</xdr:row>
      <xdr:rowOff>8141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086C8C-35A4-E37A-8BE1-88A968500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9769</xdr:colOff>
      <xdr:row>17</xdr:row>
      <xdr:rowOff>66918</xdr:rowOff>
    </xdr:from>
    <xdr:to>
      <xdr:col>4</xdr:col>
      <xdr:colOff>15875</xdr:colOff>
      <xdr:row>27</xdr:row>
      <xdr:rowOff>4885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17AD92-0019-B064-C47C-F31F70132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346604</xdr:colOff>
      <xdr:row>8</xdr:row>
      <xdr:rowOff>17462</xdr:rowOff>
    </xdr:from>
    <xdr:to>
      <xdr:col>13</xdr:col>
      <xdr:colOff>894291</xdr:colOff>
      <xdr:row>22</xdr:row>
      <xdr:rowOff>167746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0A0D2C-546D-611B-88DC-24B22E64C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" refreshedDate="46143.402363078705" createdVersion="8" refreshedVersion="8" minRefreshableVersion="3" recordCount="10" xr:uid="{80BC8D0D-088A-4A3C-B650-0D9D316713D4}">
  <cacheSource type="worksheet">
    <worksheetSource ref="A1:J11" sheet="Data"/>
  </cacheSource>
  <cacheFields count="9">
    <cacheField name="Date" numFmtId="14">
      <sharedItems containsDate="1" containsMixedTypes="1" minDate="2025-01-01T00:00:00" maxDate="2025-12-04T00:00:00"/>
    </cacheField>
    <cacheField name="Region" numFmtId="0">
      <sharedItems count="3">
        <s v="Punjab"/>
        <s v="Sindh"/>
        <s v="KPK"/>
      </sharedItems>
    </cacheField>
    <cacheField name="Sales Rep" numFmtId="0">
      <sharedItems count="3">
        <s v="Ali"/>
        <s v="Sana"/>
        <s v="Bilal"/>
      </sharedItems>
    </cacheField>
    <cacheField name="Product" numFmtId="0">
      <sharedItems count="4">
        <s v="Eco-Clean"/>
        <s v="Bio-Solvent"/>
        <s v="Green-Acid"/>
        <s v="Pure-Wash"/>
      </sharedItems>
    </cacheField>
    <cacheField name="Units Sold" numFmtId="0">
      <sharedItems containsSemiMixedTypes="0" containsString="0" containsNumber="1" containsInteger="1" minValue="50" maxValue="310"/>
    </cacheField>
    <cacheField name="Revenue (PKR)" numFmtId="164">
      <sharedItems containsSemiMixedTypes="0" containsString="0" containsNumber="1" containsInteger="1" minValue="135000" maxValue="880000"/>
    </cacheField>
    <cacheField name="Total Cost (PKR)" numFmtId="164">
      <sharedItems containsSemiMixedTypes="0" containsString="0" containsNumber="1" containsInteger="1" minValue="100000" maxValue="704000"/>
    </cacheField>
    <cacheField name="Profit (PKR)" numFmtId="164">
      <sharedItems containsSemiMixedTypes="0" containsString="0" containsNumber="1" containsInteger="1" minValue="35000" maxValue="198000"/>
    </cacheField>
    <cacheField name="Profit Margin (%)" numFmtId="9">
      <sharedItems containsSemiMixedTypes="0" containsString="0" containsNumber="1" minValue="0.13978494623655913" maxValue="0.33333333333333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1T00:00:00"/>
    <x v="0"/>
    <x v="0"/>
    <x v="0"/>
    <n v="150"/>
    <n v="450000"/>
    <n v="300000"/>
    <n v="150000"/>
    <n v="0.33333333333333331"/>
  </r>
  <r>
    <s v="15/01/2025"/>
    <x v="1"/>
    <x v="1"/>
    <x v="1"/>
    <n v="80"/>
    <n v="640000"/>
    <n v="512000"/>
    <n v="128000"/>
    <n v="0.2"/>
  </r>
  <r>
    <d v="2025-02-02T00:00:00"/>
    <x v="2"/>
    <x v="2"/>
    <x v="2"/>
    <n v="200"/>
    <n v="300000"/>
    <n v="250000"/>
    <n v="50000"/>
    <n v="0.16666666666666666"/>
  </r>
  <r>
    <d v="2025-12-03T00:00:00"/>
    <x v="0"/>
    <x v="0"/>
    <x v="3"/>
    <n v="120"/>
    <n v="180000"/>
    <n v="144000"/>
    <n v="36000"/>
    <n v="0.2"/>
  </r>
  <r>
    <d v="2025-05-04T00:00:00"/>
    <x v="1"/>
    <x v="1"/>
    <x v="0"/>
    <n v="220"/>
    <n v="660000"/>
    <n v="462000"/>
    <n v="198000"/>
    <n v="0.3"/>
  </r>
  <r>
    <s v="22/05/2025"/>
    <x v="0"/>
    <x v="2"/>
    <x v="1"/>
    <n v="50"/>
    <n v="400000"/>
    <n v="340000"/>
    <n v="60000"/>
    <n v="0.15"/>
  </r>
  <r>
    <s v="18/06/2025"/>
    <x v="2"/>
    <x v="0"/>
    <x v="2"/>
    <n v="310"/>
    <n v="465000"/>
    <n v="400000"/>
    <n v="65000"/>
    <n v="0.13978494623655913"/>
  </r>
  <r>
    <s v="30/07/2025"/>
    <x v="1"/>
    <x v="1"/>
    <x v="3"/>
    <n v="90"/>
    <n v="135000"/>
    <n v="100000"/>
    <n v="35000"/>
    <n v="0.25925925925925924"/>
  </r>
  <r>
    <s v="14/08/2025"/>
    <x v="0"/>
    <x v="2"/>
    <x v="0"/>
    <n v="180"/>
    <n v="540000"/>
    <n v="378000"/>
    <n v="162000"/>
    <n v="0.3"/>
  </r>
  <r>
    <d v="2025-02-09T00:00:00"/>
    <x v="2"/>
    <x v="1"/>
    <x v="1"/>
    <n v="110"/>
    <n v="880000"/>
    <n v="704000"/>
    <n v="176000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057DB-EF65-4E0E-86AA-1A1A345B997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 Rep">
  <location ref="M3:N7" firstHeaderRow="1" firstDataRow="1" firstDataCol="1"/>
  <pivotFields count="9"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164" showAll="0"/>
    <pivotField numFmtId="9" showAll="0"/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Total Revenue" fld="5" baseField="2" baseItem="0" numFmtId="164"/>
  </dataFields>
  <formats count="7">
    <format dxfId="35">
      <pivotArea outline="0" collapsedLevelsAreSubtotals="1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F7105-4AD0-4166-9E02-B862FB3EE3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G3:H8" firstHeaderRow="1" firstDataRow="1" firstDataCol="1"/>
  <pivotFields count="9"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numFmtId="164" showAll="0"/>
    <pivotField numFmtId="9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5" baseField="3" baseItem="0" numFmtId="164"/>
  </dataFields>
  <formats count="7">
    <format dxfId="36">
      <pivotArea outline="0" collapsedLevelsAreSubtotals="1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EBC71-B5AF-478B-A4B4-B879E43CD3D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D3:E8" firstHeaderRow="1" firstDataRow="1" firstDataCol="1"/>
  <pivotFields count="9">
    <pivotField showAll="0"/>
    <pivotField showAll="0"/>
    <pivotField showAll="0"/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164" showAll="0"/>
    <pivotField numFmtId="9" showAll="0"/>
  </pivotFields>
  <rowFields count="1">
    <field x="3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Total Profit" fld="7" baseField="3" baseItem="0" numFmtId="164"/>
  </dataFields>
  <formats count="7">
    <format dxfId="37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3" type="button" dataOnly="0" labelOnly="1" outline="0" axis="axisRow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C2049-65F7-430E-A491-E1A63FC2F5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3:B7" firstHeaderRow="1" firstDataRow="1" firstDataCol="1"/>
  <pivotFields count="9"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dataField="1" numFmtId="164" showAll="0"/>
    <pivotField numFmtId="9"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Total Profit" fld="7" baseField="1" baseItem="0" numFmtId="164"/>
  </dataFields>
  <formats count="7">
    <format dxfId="38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5070F-F62D-4D6A-B411-4AD2DF17C0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J3:K8" firstHeaderRow="1" firstDataRow="1" firstDataCol="1"/>
  <pivotFields count="9">
    <pivotField showAll="0"/>
    <pivotField showAll="0"/>
    <pivotField showAll="0"/>
    <pivotField axis="axisRow" showAll="0" sortType="a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numFmtId="164" showAll="0"/>
    <pivotField dataField="1" numFmtId="9" showAll="0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Total Profit Margin" fld="8" baseField="3" baseItem="0" numFmtId="165"/>
  </dataFields>
  <formats count="7">
    <format dxfId="39">
      <pivotArea outline="0" collapsedLevelsAreSubtotals="1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6F5-D39A-4ADD-8B04-BEC7F07D24AF}">
  <dimension ref="A1:K15"/>
  <sheetViews>
    <sheetView tabSelected="1" zoomScale="120" zoomScaleNormal="120" workbookViewId="0">
      <selection activeCell="G5" sqref="G5"/>
    </sheetView>
  </sheetViews>
  <sheetFormatPr defaultRowHeight="14.5" x14ac:dyDescent="0.35"/>
  <cols>
    <col min="1" max="1" width="11.1796875" bestFit="1" customWidth="1"/>
    <col min="2" max="2" width="7.6328125" bestFit="1" customWidth="1"/>
    <col min="3" max="3" width="10.08984375" bestFit="1" customWidth="1"/>
    <col min="4" max="4" width="11" bestFit="1" customWidth="1"/>
    <col min="5" max="5" width="19" bestFit="1" customWidth="1"/>
    <col min="6" max="6" width="14.26953125" bestFit="1" customWidth="1"/>
    <col min="7" max="7" width="20.36328125" bestFit="1" customWidth="1"/>
    <col min="8" max="8" width="12.54296875" bestFit="1" customWidth="1"/>
    <col min="9" max="9" width="12.54296875" customWidth="1"/>
    <col min="10" max="10" width="14.6328125" bestFit="1" customWidth="1"/>
    <col min="11" max="11" width="11.36328125" bestFit="1" customWidth="1"/>
  </cols>
  <sheetData>
    <row r="1" spans="1:11" s="9" customFormat="1" ht="17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5" t="s">
        <v>22</v>
      </c>
      <c r="I1" s="16" t="s">
        <v>29</v>
      </c>
      <c r="J1" s="16" t="s">
        <v>23</v>
      </c>
      <c r="K1" s="13"/>
    </row>
    <row r="2" spans="1:11" x14ac:dyDescent="0.35">
      <c r="A2" s="4">
        <v>45658</v>
      </c>
      <c r="B2" s="5" t="s">
        <v>7</v>
      </c>
      <c r="C2" s="5" t="s">
        <v>8</v>
      </c>
      <c r="D2" s="5" t="s">
        <v>9</v>
      </c>
      <c r="E2" s="5">
        <v>150</v>
      </c>
      <c r="F2" s="6">
        <v>450000</v>
      </c>
      <c r="G2" s="7">
        <v>300000</v>
      </c>
      <c r="H2" s="8">
        <f>F2 - G2</f>
        <v>150000</v>
      </c>
      <c r="I2" s="17">
        <f>H2/F2</f>
        <v>0.33333333333333331</v>
      </c>
      <c r="J2" s="12">
        <f t="shared" ref="J2:J11" si="0">H2 / F2</f>
        <v>0.33333333333333331</v>
      </c>
      <c r="K2" s="14"/>
    </row>
    <row r="3" spans="1:11" x14ac:dyDescent="0.35">
      <c r="A3" s="4" t="s">
        <v>10</v>
      </c>
      <c r="B3" s="5" t="s">
        <v>11</v>
      </c>
      <c r="C3" s="5" t="s">
        <v>12</v>
      </c>
      <c r="D3" s="5" t="s">
        <v>13</v>
      </c>
      <c r="E3" s="5">
        <v>80</v>
      </c>
      <c r="F3" s="6">
        <v>640000</v>
      </c>
      <c r="G3" s="7">
        <v>512000</v>
      </c>
      <c r="H3" s="8">
        <f t="shared" ref="H3:H11" si="1">F3 - G3</f>
        <v>128000</v>
      </c>
      <c r="I3" s="17">
        <f t="shared" ref="I3:I11" si="2">H3/F3</f>
        <v>0.2</v>
      </c>
      <c r="J3" s="12">
        <f t="shared" si="0"/>
        <v>0.2</v>
      </c>
      <c r="K3" s="14"/>
    </row>
    <row r="4" spans="1:11" x14ac:dyDescent="0.35">
      <c r="A4" s="4">
        <v>45690</v>
      </c>
      <c r="B4" s="5" t="s">
        <v>14</v>
      </c>
      <c r="C4" s="5" t="s">
        <v>15</v>
      </c>
      <c r="D4" s="5" t="s">
        <v>16</v>
      </c>
      <c r="E4" s="5">
        <v>200</v>
      </c>
      <c r="F4" s="6">
        <v>300000</v>
      </c>
      <c r="G4" s="7">
        <v>250000</v>
      </c>
      <c r="H4" s="8">
        <f t="shared" si="1"/>
        <v>50000</v>
      </c>
      <c r="I4" s="17">
        <f t="shared" si="2"/>
        <v>0.16666666666666666</v>
      </c>
      <c r="J4" s="12">
        <f t="shared" si="0"/>
        <v>0.16666666666666666</v>
      </c>
      <c r="K4" s="14"/>
    </row>
    <row r="5" spans="1:11" x14ac:dyDescent="0.35">
      <c r="A5" s="4">
        <v>45994</v>
      </c>
      <c r="B5" s="5" t="s">
        <v>7</v>
      </c>
      <c r="C5" s="5" t="s">
        <v>8</v>
      </c>
      <c r="D5" s="5" t="s">
        <v>17</v>
      </c>
      <c r="E5" s="5">
        <v>120</v>
      </c>
      <c r="F5" s="6">
        <v>180000</v>
      </c>
      <c r="G5" s="7">
        <v>144000</v>
      </c>
      <c r="H5" s="8">
        <f t="shared" si="1"/>
        <v>36000</v>
      </c>
      <c r="I5" s="17">
        <f t="shared" si="2"/>
        <v>0.2</v>
      </c>
      <c r="J5" s="12">
        <f t="shared" si="0"/>
        <v>0.2</v>
      </c>
      <c r="K5" s="14"/>
    </row>
    <row r="6" spans="1:11" x14ac:dyDescent="0.35">
      <c r="A6" s="4">
        <v>45781</v>
      </c>
      <c r="B6" s="5" t="s">
        <v>11</v>
      </c>
      <c r="C6" s="5" t="s">
        <v>12</v>
      </c>
      <c r="D6" s="5" t="s">
        <v>9</v>
      </c>
      <c r="E6" s="5">
        <v>220</v>
      </c>
      <c r="F6" s="6">
        <v>660000</v>
      </c>
      <c r="G6" s="7">
        <v>462000</v>
      </c>
      <c r="H6" s="8">
        <f t="shared" si="1"/>
        <v>198000</v>
      </c>
      <c r="I6" s="17">
        <f t="shared" si="2"/>
        <v>0.3</v>
      </c>
      <c r="J6" s="12">
        <f t="shared" si="0"/>
        <v>0.3</v>
      </c>
      <c r="K6" s="14"/>
    </row>
    <row r="7" spans="1:11" x14ac:dyDescent="0.35">
      <c r="A7" s="4" t="s">
        <v>18</v>
      </c>
      <c r="B7" s="5" t="s">
        <v>7</v>
      </c>
      <c r="C7" s="5" t="s">
        <v>15</v>
      </c>
      <c r="D7" s="5" t="s">
        <v>13</v>
      </c>
      <c r="E7" s="5">
        <v>50</v>
      </c>
      <c r="F7" s="6">
        <v>400000</v>
      </c>
      <c r="G7" s="7">
        <v>340000</v>
      </c>
      <c r="H7" s="8">
        <f t="shared" si="1"/>
        <v>60000</v>
      </c>
      <c r="I7" s="17">
        <f t="shared" si="2"/>
        <v>0.15</v>
      </c>
      <c r="J7" s="12">
        <f t="shared" si="0"/>
        <v>0.15</v>
      </c>
      <c r="K7" s="14"/>
    </row>
    <row r="8" spans="1:11" x14ac:dyDescent="0.35">
      <c r="A8" s="4" t="s">
        <v>19</v>
      </c>
      <c r="B8" s="5" t="s">
        <v>14</v>
      </c>
      <c r="C8" s="5" t="s">
        <v>8</v>
      </c>
      <c r="D8" s="5" t="s">
        <v>16</v>
      </c>
      <c r="E8" s="5">
        <v>310</v>
      </c>
      <c r="F8" s="6">
        <v>465000</v>
      </c>
      <c r="G8" s="7">
        <v>400000</v>
      </c>
      <c r="H8" s="8">
        <f t="shared" si="1"/>
        <v>65000</v>
      </c>
      <c r="I8" s="17">
        <f t="shared" si="2"/>
        <v>0.13978494623655913</v>
      </c>
      <c r="J8" s="12">
        <f t="shared" si="0"/>
        <v>0.13978494623655913</v>
      </c>
      <c r="K8" s="14"/>
    </row>
    <row r="9" spans="1:11" x14ac:dyDescent="0.35">
      <c r="A9" s="4" t="s">
        <v>20</v>
      </c>
      <c r="B9" s="5" t="s">
        <v>11</v>
      </c>
      <c r="C9" s="5" t="s">
        <v>12</v>
      </c>
      <c r="D9" s="5" t="s">
        <v>17</v>
      </c>
      <c r="E9" s="5">
        <v>90</v>
      </c>
      <c r="F9" s="6">
        <v>135000</v>
      </c>
      <c r="G9" s="7">
        <v>100000</v>
      </c>
      <c r="H9" s="8">
        <f t="shared" si="1"/>
        <v>35000</v>
      </c>
      <c r="I9" s="17">
        <f t="shared" si="2"/>
        <v>0.25925925925925924</v>
      </c>
      <c r="J9" s="12">
        <f t="shared" si="0"/>
        <v>0.25925925925925924</v>
      </c>
      <c r="K9" s="14"/>
    </row>
    <row r="10" spans="1:11" x14ac:dyDescent="0.35">
      <c r="A10" s="4" t="s">
        <v>21</v>
      </c>
      <c r="B10" s="5" t="s">
        <v>7</v>
      </c>
      <c r="C10" s="5" t="s">
        <v>15</v>
      </c>
      <c r="D10" s="5" t="s">
        <v>9</v>
      </c>
      <c r="E10" s="5">
        <v>180</v>
      </c>
      <c r="F10" s="6">
        <v>540000</v>
      </c>
      <c r="G10" s="7">
        <v>378000</v>
      </c>
      <c r="H10" s="8">
        <f t="shared" si="1"/>
        <v>162000</v>
      </c>
      <c r="I10" s="17">
        <f t="shared" si="2"/>
        <v>0.3</v>
      </c>
      <c r="J10" s="12">
        <f t="shared" si="0"/>
        <v>0.3</v>
      </c>
      <c r="K10" s="14"/>
    </row>
    <row r="11" spans="1:11" x14ac:dyDescent="0.35">
      <c r="A11" s="4">
        <v>45697</v>
      </c>
      <c r="B11" s="5" t="s">
        <v>14</v>
      </c>
      <c r="C11" s="5" t="s">
        <v>12</v>
      </c>
      <c r="D11" s="5" t="s">
        <v>13</v>
      </c>
      <c r="E11" s="5">
        <v>110</v>
      </c>
      <c r="F11" s="6">
        <v>880000</v>
      </c>
      <c r="G11" s="7">
        <v>704000</v>
      </c>
      <c r="H11" s="8">
        <f t="shared" si="1"/>
        <v>176000</v>
      </c>
      <c r="I11" s="17">
        <f t="shared" si="2"/>
        <v>0.2</v>
      </c>
      <c r="J11" s="12">
        <f t="shared" si="0"/>
        <v>0.2</v>
      </c>
      <c r="K11" s="14"/>
    </row>
    <row r="13" spans="1:11" x14ac:dyDescent="0.35">
      <c r="E13" s="1" t="s">
        <v>25</v>
      </c>
      <c r="F13" s="10">
        <f>SUM(F2:F11)</f>
        <v>4650000</v>
      </c>
    </row>
    <row r="14" spans="1:11" x14ac:dyDescent="0.35">
      <c r="E14" s="1" t="s">
        <v>27</v>
      </c>
      <c r="F14" s="10">
        <f>SUM(H2:H11)</f>
        <v>1060000</v>
      </c>
    </row>
    <row r="15" spans="1:11" x14ac:dyDescent="0.35">
      <c r="E15" s="1" t="s">
        <v>28</v>
      </c>
      <c r="F15" s="11">
        <v>0.22490442054958187</v>
      </c>
      <c r="G15" s="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E49E-13B0-461F-B291-B53A4393582E}">
  <dimension ref="A1:O25"/>
  <sheetViews>
    <sheetView showGridLines="0" showRowColHeaders="0" zoomScale="130" zoomScaleNormal="130" workbookViewId="0">
      <selection activeCell="D7" sqref="D7"/>
    </sheetView>
  </sheetViews>
  <sheetFormatPr defaultRowHeight="14.5" x14ac:dyDescent="0.35"/>
  <cols>
    <col min="1" max="1" width="10.36328125" bestFit="1" customWidth="1"/>
    <col min="2" max="2" width="13" bestFit="1" customWidth="1"/>
    <col min="3" max="3" width="1.453125" customWidth="1"/>
    <col min="4" max="4" width="10.36328125" bestFit="1" customWidth="1"/>
    <col min="5" max="5" width="13" bestFit="1" customWidth="1"/>
    <col min="6" max="6" width="1.26953125" customWidth="1"/>
    <col min="7" max="7" width="10.36328125" bestFit="1" customWidth="1"/>
    <col min="8" max="8" width="13" bestFit="1" customWidth="1"/>
    <col min="9" max="9" width="1.26953125" customWidth="1"/>
    <col min="10" max="10" width="12.453125" bestFit="1" customWidth="1"/>
    <col min="11" max="11" width="15.90625" bestFit="1" customWidth="1"/>
    <col min="12" max="12" width="1.6328125" customWidth="1"/>
    <col min="13" max="13" width="11.26953125" bestFit="1" customWidth="1"/>
    <col min="14" max="14" width="13" bestFit="1" customWidth="1"/>
  </cols>
  <sheetData>
    <row r="1" spans="1:15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x14ac:dyDescent="0.35">
      <c r="A3" s="18" t="s">
        <v>1</v>
      </c>
      <c r="B3" s="18" t="s">
        <v>26</v>
      </c>
      <c r="C3" s="18"/>
      <c r="D3" s="18" t="s">
        <v>3</v>
      </c>
      <c r="E3" s="18" t="s">
        <v>26</v>
      </c>
      <c r="F3" s="18"/>
      <c r="G3" s="18" t="s">
        <v>3</v>
      </c>
      <c r="H3" s="18" t="s">
        <v>24</v>
      </c>
      <c r="I3" s="18"/>
      <c r="J3" s="18" t="s">
        <v>3</v>
      </c>
      <c r="K3" s="18" t="s">
        <v>31</v>
      </c>
      <c r="L3" s="18"/>
      <c r="M3" s="18" t="s">
        <v>2</v>
      </c>
      <c r="N3" s="18" t="s">
        <v>24</v>
      </c>
      <c r="O3" s="18"/>
    </row>
    <row r="4" spans="1:15" x14ac:dyDescent="0.35">
      <c r="A4" s="19" t="s">
        <v>7</v>
      </c>
      <c r="B4" s="20">
        <v>408000</v>
      </c>
      <c r="C4" s="18"/>
      <c r="D4" s="19" t="s">
        <v>9</v>
      </c>
      <c r="E4" s="20">
        <v>510000</v>
      </c>
      <c r="F4" s="18"/>
      <c r="G4" s="19" t="s">
        <v>13</v>
      </c>
      <c r="H4" s="20">
        <v>1920000</v>
      </c>
      <c r="I4" s="18"/>
      <c r="J4" s="19" t="s">
        <v>16</v>
      </c>
      <c r="K4" s="21">
        <v>0.30645161290322576</v>
      </c>
      <c r="L4" s="18"/>
      <c r="M4" s="19" t="s">
        <v>12</v>
      </c>
      <c r="N4" s="20">
        <v>2315000</v>
      </c>
      <c r="O4" s="18"/>
    </row>
    <row r="5" spans="1:15" x14ac:dyDescent="0.35">
      <c r="A5" s="19" t="s">
        <v>11</v>
      </c>
      <c r="B5" s="20">
        <v>361000</v>
      </c>
      <c r="C5" s="18"/>
      <c r="D5" s="19" t="s">
        <v>13</v>
      </c>
      <c r="E5" s="20">
        <v>364000</v>
      </c>
      <c r="F5" s="18"/>
      <c r="G5" s="19" t="s">
        <v>9</v>
      </c>
      <c r="H5" s="20">
        <v>1650000</v>
      </c>
      <c r="I5" s="18"/>
      <c r="J5" s="19" t="s">
        <v>17</v>
      </c>
      <c r="K5" s="21">
        <v>0.45925925925925926</v>
      </c>
      <c r="L5" s="18"/>
      <c r="M5" s="19" t="s">
        <v>15</v>
      </c>
      <c r="N5" s="20">
        <v>1240000</v>
      </c>
      <c r="O5" s="18"/>
    </row>
    <row r="6" spans="1:15" x14ac:dyDescent="0.35">
      <c r="A6" s="19" t="s">
        <v>14</v>
      </c>
      <c r="B6" s="20">
        <v>291000</v>
      </c>
      <c r="C6" s="18"/>
      <c r="D6" s="19" t="s">
        <v>16</v>
      </c>
      <c r="E6" s="20">
        <v>115000</v>
      </c>
      <c r="F6" s="18"/>
      <c r="G6" s="19" t="s">
        <v>16</v>
      </c>
      <c r="H6" s="20">
        <v>765000</v>
      </c>
      <c r="I6" s="18"/>
      <c r="J6" s="19" t="s">
        <v>13</v>
      </c>
      <c r="K6" s="21">
        <v>0.55000000000000004</v>
      </c>
      <c r="L6" s="18"/>
      <c r="M6" s="19" t="s">
        <v>8</v>
      </c>
      <c r="N6" s="20">
        <v>1095000</v>
      </c>
      <c r="O6" s="18"/>
    </row>
    <row r="7" spans="1:15" x14ac:dyDescent="0.35">
      <c r="A7" s="19" t="s">
        <v>30</v>
      </c>
      <c r="B7" s="20">
        <v>1060000</v>
      </c>
      <c r="C7" s="18"/>
      <c r="D7" s="19" t="s">
        <v>17</v>
      </c>
      <c r="E7" s="20">
        <v>71000</v>
      </c>
      <c r="F7" s="18"/>
      <c r="G7" s="19" t="s">
        <v>17</v>
      </c>
      <c r="H7" s="20">
        <v>315000</v>
      </c>
      <c r="I7" s="18"/>
      <c r="J7" s="19" t="s">
        <v>9</v>
      </c>
      <c r="K7" s="21">
        <v>0.93333333333333335</v>
      </c>
      <c r="L7" s="18"/>
      <c r="M7" s="19" t="s">
        <v>30</v>
      </c>
      <c r="N7" s="20">
        <v>4650000</v>
      </c>
      <c r="O7" s="18"/>
    </row>
    <row r="8" spans="1:15" x14ac:dyDescent="0.35">
      <c r="A8" s="18"/>
      <c r="B8" s="18"/>
      <c r="C8" s="18"/>
      <c r="D8" s="19" t="s">
        <v>30</v>
      </c>
      <c r="E8" s="20">
        <v>1060000</v>
      </c>
      <c r="F8" s="18"/>
      <c r="G8" s="19" t="s">
        <v>30</v>
      </c>
      <c r="H8" s="20">
        <v>4650000</v>
      </c>
      <c r="I8" s="18"/>
      <c r="J8" s="19" t="s">
        <v>30</v>
      </c>
      <c r="K8" s="21">
        <v>2.2490442054958182</v>
      </c>
      <c r="L8" s="18"/>
      <c r="M8" s="18"/>
      <c r="N8" s="18"/>
      <c r="O8" s="18"/>
    </row>
    <row r="9" spans="1:15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3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x14ac:dyDescent="0.3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3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x14ac:dyDescent="0.3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x14ac:dyDescent="0.3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x14ac:dyDescent="0.3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3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3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DeepInsights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2026-05-01T16:12:21Z</dcterms:created>
  <dcterms:modified xsi:type="dcterms:W3CDTF">2026-05-02T16:51:38Z</dcterms:modified>
</cp:coreProperties>
</file>