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9300625-B41E-4460-91DB-33179EEA1E6F}" xr6:coauthVersionLast="47" xr6:coauthVersionMax="47" xr10:uidLastSave="{00000000-0000-0000-0000-000000000000}"/>
  <bookViews>
    <workbookView xWindow="-110" yWindow="-110" windowWidth="19420" windowHeight="10420" activeTab="4" xr2:uid="{6C8B1253-0767-440F-A9A9-FD86C781AFF3}"/>
  </bookViews>
  <sheets>
    <sheet name="Data" sheetId="1" r:id="rId1"/>
    <sheet name="PivotTable" sheetId="4" r:id="rId2"/>
    <sheet name="Analysis" sheetId="3" r:id="rId3"/>
    <sheet name="Table" sheetId="2" r:id="rId4"/>
    <sheet name="KPIs" sheetId="5" r:id="rId5"/>
  </sheets>
  <calcPr calcId="191029"/>
  <pivotCaches>
    <pivotCache cacheId="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2" l="1"/>
  <c r="G10" i="2"/>
  <c r="G9" i="2"/>
  <c r="G8" i="2"/>
  <c r="G7" i="2"/>
  <c r="G6" i="2"/>
  <c r="G5" i="2"/>
  <c r="G4" i="2"/>
  <c r="G3" i="2"/>
  <c r="G2" i="2"/>
  <c r="H5" i="1"/>
  <c r="H11" i="1"/>
  <c r="H3" i="1"/>
  <c r="H10" i="1"/>
  <c r="H9" i="1"/>
  <c r="H7" i="1"/>
  <c r="H8" i="1"/>
  <c r="H6" i="1"/>
  <c r="H4" i="1"/>
  <c r="H2" i="1"/>
</calcChain>
</file>

<file path=xl/sharedStrings.xml><?xml version="1.0" encoding="utf-8"?>
<sst xmlns="http://schemas.openxmlformats.org/spreadsheetml/2006/main" count="139" uniqueCount="37">
  <si>
    <t>Customer ID</t>
  </si>
  <si>
    <t>Customer Name</t>
  </si>
  <si>
    <t>City</t>
  </si>
  <si>
    <t>Product</t>
  </si>
  <si>
    <t>Quantity</t>
  </si>
  <si>
    <t>Price</t>
  </si>
  <si>
    <t>Revenue</t>
  </si>
  <si>
    <t>Order Date</t>
  </si>
  <si>
    <t>C001</t>
  </si>
  <si>
    <t>C002</t>
  </si>
  <si>
    <t>C003</t>
  </si>
  <si>
    <t>C004</t>
  </si>
  <si>
    <t>C005</t>
  </si>
  <si>
    <t>Hina Noor</t>
  </si>
  <si>
    <t>Ali Khan</t>
  </si>
  <si>
    <t>Sara Ahmed</t>
  </si>
  <si>
    <t>Ahmed Raza</t>
  </si>
  <si>
    <t>Usman Ali</t>
  </si>
  <si>
    <t>Lahore</t>
  </si>
  <si>
    <t>Karachi</t>
  </si>
  <si>
    <t>Islamabad</t>
  </si>
  <si>
    <t>Faisalabad</t>
  </si>
  <si>
    <t>Laptop</t>
  </si>
  <si>
    <t>Mobile</t>
  </si>
  <si>
    <t>Shoes</t>
  </si>
  <si>
    <t>Shirt</t>
  </si>
  <si>
    <t>Top 3 customers</t>
  </si>
  <si>
    <t>Repeated Customers</t>
  </si>
  <si>
    <t>Grand Total</t>
  </si>
  <si>
    <t>Total Revune</t>
  </si>
  <si>
    <t>Total Revenue</t>
  </si>
  <si>
    <t>Most Generated Revenue</t>
  </si>
  <si>
    <t>Total Quantity</t>
  </si>
  <si>
    <t>Most Selling Product</t>
  </si>
  <si>
    <t>Total Orders</t>
  </si>
  <si>
    <r>
      <rPr>
        <b/>
        <sz val="11"/>
        <color theme="1"/>
        <rFont val="Aptos Narrow"/>
        <family val="2"/>
        <scheme val="minor"/>
      </rPr>
      <t>10</t>
    </r>
    <r>
      <rPr>
        <sz val="11"/>
        <color theme="1"/>
        <rFont val="Aptos Narrow"/>
        <family val="2"/>
        <scheme val="minor"/>
      </rPr>
      <t xml:space="preserve"> Orders</t>
    </r>
  </si>
  <si>
    <t>Total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</si>
</sst>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s-420]\ * #,##0_-;\-[$Rs-420]\ * #,##0_-;_-[$Rs-420]\ * &quot;-&quot;??_-;_-@_-"/>
    <numFmt numFmtId="165" formatCode="dd\-mm\-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8"/>
      <color theme="1"/>
      <name val="Aptos Display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0" xfId="0" applyFill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2" borderId="0" xfId="0" applyNumberFormat="1" applyFill="1"/>
    <xf numFmtId="0" fontId="0" fillId="2" borderId="0" xfId="0" applyNumberFormat="1" applyFill="1"/>
    <xf numFmtId="0" fontId="0" fillId="0" borderId="0" xfId="0" applyFont="1"/>
    <xf numFmtId="164" fontId="1" fillId="0" borderId="0" xfId="0" applyNumberFormat="1" applyFont="1" applyFill="1"/>
    <xf numFmtId="0" fontId="0" fillId="0" borderId="0" xfId="0" applyFont="1" applyFill="1"/>
    <xf numFmtId="0" fontId="2" fillId="2" borderId="0" xfId="0" applyFont="1" applyFill="1"/>
    <xf numFmtId="164" fontId="2" fillId="2" borderId="0" xfId="0" applyNumberFormat="1" applyFont="1" applyFill="1"/>
    <xf numFmtId="0" fontId="3" fillId="3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numFmt numFmtId="167" formatCode="_-[$Rs-420]\ * #,##0.0_-;\-[$Rs-420]\ * #,##0.0_-;_-[$Rs-420]\ * &quot;-&quot;??_-;_-@_-"/>
    </dxf>
    <dxf>
      <numFmt numFmtId="164" formatCode="_-[$Rs-420]\ * #,##0_-;\-[$Rs-420]\ * #,##0_-;_-[$Rs-420]\ * &quot;-&quot;??_-;_-@_-"/>
    </dxf>
    <dxf>
      <numFmt numFmtId="167" formatCode="_-[$Rs-420]\ * #,##0.0_-;\-[$Rs-420]\ * #,##0.0_-;_-[$Rs-420]\ * &quot;-&quot;??_-;_-@_-"/>
    </dxf>
    <dxf>
      <numFmt numFmtId="166" formatCode="_-[$Rs-420]\ * #,##0.00_-;\-[$Rs-420]\ * #,##0.00_-;_-[$Rs-420]\ * &quot;-&quot;??_-;_-@_-"/>
    </dxf>
    <dxf>
      <numFmt numFmtId="166" formatCode="_-[$Rs-420]\ * #,##0.00_-;\-[$Rs-420]\ * #,##0.00_-;_-[$Rs-420]\ * &quot;-&quot;??_-;_-@_-"/>
    </dxf>
    <dxf>
      <fill>
        <patternFill>
          <bgColor rgb="FFFFFF00"/>
        </patternFill>
      </fill>
    </dxf>
    <dxf>
      <numFmt numFmtId="165" formatCode="dd\-mm\-yyyy"/>
    </dxf>
    <dxf>
      <numFmt numFmtId="164" formatCode="_-[$Rs-420]\ * #,##0_-;\-[$Rs-420]\ * #,##0_-;_-[$Rs-420]\ * &quot;-&quot;??_-;_-@_-"/>
    </dxf>
    <dxf>
      <numFmt numFmtId="164" formatCode="_-[$Rs-420]\ * #,##0_-;\-[$Rs-420]\ * #,##0_-;_-[$Rs-420]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Customers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tx2">
                  <a:lumMod val="10000"/>
                  <a:lumOff val="9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Analysis!$B$2:$B$4</c:f>
              <c:strCache>
                <c:ptCount val="3"/>
                <c:pt idx="0">
                  <c:v>Ali Khan</c:v>
                </c:pt>
                <c:pt idx="1">
                  <c:v>Ahmed Raza</c:v>
                </c:pt>
                <c:pt idx="2">
                  <c:v>Sara Ahmed</c:v>
                </c:pt>
              </c:strCache>
            </c:strRef>
          </c:cat>
          <c:val>
            <c:numRef>
              <c:f>Analysis!$C$2:$C$4</c:f>
              <c:numCache>
                <c:formatCode>_-[$Rs-420]\ * #,##0_-;\-[$Rs-420]\ * #,##0_-;_-[$Rs-420]\ * "-"??_-;_-@_-</c:formatCode>
                <c:ptCount val="3"/>
                <c:pt idx="0">
                  <c:v>80000</c:v>
                </c:pt>
                <c:pt idx="1">
                  <c:v>80000</c:v>
                </c:pt>
                <c:pt idx="2">
                  <c:v>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FF-4ADD-9AA3-0FBF638C4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876064"/>
        <c:axId val="156872704"/>
      </c:barChart>
      <c:catAx>
        <c:axId val="15687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rgbClr val="FFFF00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72704"/>
        <c:crosses val="autoZero"/>
        <c:auto val="1"/>
        <c:lblAlgn val="ctr"/>
        <c:lblOffset val="100"/>
        <c:noMultiLvlLbl val="0"/>
      </c:catAx>
      <c:valAx>
        <c:axId val="156872704"/>
        <c:scaling>
          <c:orientation val="minMax"/>
        </c:scaling>
        <c:delete val="1"/>
        <c:axPos val="l"/>
        <c:numFmt formatCode="_-[$Rs-420]\ * #,##0_-;\-[$Rs-420]\ * #,##0_-;_-[$Rs-420]\ * &quot;-&quot;??_-;_-@_-" sourceLinked="1"/>
        <c:majorTickMark val="none"/>
        <c:minorTickMark val="none"/>
        <c:tickLblPos val="nextTo"/>
        <c:crossAx val="156876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[PROJECT-2-Customer-Analysis.xlsx]PivotTable!PivotTable2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Popularity</a:t>
            </a:r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PivotTable!$E$3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PivotTable!$D$4:$D$8</c:f>
              <c:strCache>
                <c:ptCount val="4"/>
                <c:pt idx="0">
                  <c:v>Shirt</c:v>
                </c:pt>
                <c:pt idx="1">
                  <c:v>Shoes</c:v>
                </c:pt>
                <c:pt idx="2">
                  <c:v>Mobile</c:v>
                </c:pt>
                <c:pt idx="3">
                  <c:v>Laptop</c:v>
                </c:pt>
              </c:strCache>
            </c:strRef>
          </c:cat>
          <c:val>
            <c:numRef>
              <c:f>PivotTable!$E$4:$E$8</c:f>
              <c:numCache>
                <c:formatCode>General</c:formatCode>
                <c:ptCount val="4"/>
                <c:pt idx="0">
                  <c:v>8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0B-44EE-AD42-F7B1F5730E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52066464"/>
        <c:axId val="252067904"/>
      </c:barChart>
      <c:catAx>
        <c:axId val="2520664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solidFill>
            <a:schemeClr val="bg2">
              <a:lumMod val="9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7904"/>
        <c:crosses val="autoZero"/>
        <c:auto val="1"/>
        <c:lblAlgn val="ctr"/>
        <c:lblOffset val="100"/>
        <c:noMultiLvlLbl val="0"/>
      </c:catAx>
      <c:valAx>
        <c:axId val="2520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2066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[PROJECT-2-Customer-Analysis.xlsx]PivotTable!PivotTable1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solidFill>
          <a:schemeClr val="accent2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0.19999038724499191"/>
              <c:y val="4.0899403887203555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9.7829529340140275E-2"/>
              <c:y val="-0.25157943803597549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8324146569923108"/>
                  <c:h val="0.11319205588105953"/>
                </c:manualLayout>
              </c15:layout>
            </c:ext>
          </c:extLst>
        </c:dLbl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0.15384469215710966"/>
              <c:y val="6.5480098134717932E-2"/>
            </c:manualLayout>
          </c:layout>
          <c:spPr>
            <a:solidFill>
              <a:srgbClr val="FFFF00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5BB-46AA-AFF6-FC3EA4D916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5BB-46AA-AFF6-FC3EA4D916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5BB-46AA-AFF6-FC3EA4D916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5BB-46AA-AFF6-FC3EA4D9160F}"/>
              </c:ext>
            </c:extLst>
          </c:dPt>
          <c:dLbls>
            <c:dLbl>
              <c:idx val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BB-46AA-AFF6-FC3EA4D9160F}"/>
                </c:ext>
              </c:extLst>
            </c:dLbl>
            <c:dLbl>
              <c:idx val="1"/>
              <c:layout>
                <c:manualLayout>
                  <c:x val="-0.19999038724499191"/>
                  <c:y val="4.0899403887203555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5BB-46AA-AFF6-FC3EA4D9160F}"/>
                </c:ext>
              </c:extLst>
            </c:dLbl>
            <c:dLbl>
              <c:idx val="2"/>
              <c:layout>
                <c:manualLayout>
                  <c:x val="9.7829529340140275E-2"/>
                  <c:y val="-0.25157943803597549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8324146569923108"/>
                      <c:h val="0.1131920558810595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5BB-46AA-AFF6-FC3EA4D9160F}"/>
                </c:ext>
              </c:extLst>
            </c:dLbl>
            <c:dLbl>
              <c:idx val="3"/>
              <c:layout>
                <c:manualLayout>
                  <c:x val="0.15384469215710966"/>
                  <c:y val="6.5480098134717932E-2"/>
                </c:manualLayout>
              </c:layout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7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5BB-46AA-AFF6-FC3EA4D9160F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PivotTable!$A$4:$A$8</c:f>
              <c:strCache>
                <c:ptCount val="4"/>
                <c:pt idx="0">
                  <c:v>Faisalabad</c:v>
                </c:pt>
                <c:pt idx="1">
                  <c:v>Islamabad</c:v>
                </c:pt>
                <c:pt idx="2">
                  <c:v>Karachi</c:v>
                </c:pt>
                <c:pt idx="3">
                  <c:v>Lahore</c:v>
                </c:pt>
              </c:strCache>
            </c:strRef>
          </c:cat>
          <c:val>
            <c:numRef>
              <c:f>PivotTable!$B$4:$B$8</c:f>
              <c:numCache>
                <c:formatCode>_-[$Rs-420]\ * #,##0_-;\-[$Rs-420]\ * #,##0_-;_-[$Rs-420]\ * "-"??_-;_-@_-</c:formatCode>
                <c:ptCount val="4"/>
                <c:pt idx="0">
                  <c:v>10000</c:v>
                </c:pt>
                <c:pt idx="1">
                  <c:v>140000</c:v>
                </c:pt>
                <c:pt idx="2">
                  <c:v>149000</c:v>
                </c:pt>
                <c:pt idx="3">
                  <c:v>130000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5BB-46AA-AFF6-FC3EA4D91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2</xdr:row>
      <xdr:rowOff>4538</xdr:rowOff>
    </xdr:from>
    <xdr:to>
      <xdr:col>1</xdr:col>
      <xdr:colOff>4537</xdr:colOff>
      <xdr:row>11</xdr:row>
      <xdr:rowOff>36287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ED0477-F472-4283-B5A9-E7B8A9B357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8467</xdr:colOff>
      <xdr:row>2</xdr:row>
      <xdr:rowOff>4233</xdr:rowOff>
    </xdr:from>
    <xdr:to>
      <xdr:col>2</xdr:col>
      <xdr:colOff>0</xdr:colOff>
      <xdr:row>11</xdr:row>
      <xdr:rowOff>42333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33C075-6E98-4F7A-A956-B97FED90A5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4234</xdr:colOff>
      <xdr:row>2</xdr:row>
      <xdr:rowOff>8467</xdr:rowOff>
    </xdr:from>
    <xdr:to>
      <xdr:col>3</xdr:col>
      <xdr:colOff>8468</xdr:colOff>
      <xdr:row>11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79661F0-BB02-41B3-AE5F-58460CFAC1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BAS" refreshedDate="46129.408915624997" createdVersion="8" refreshedVersion="8" minRefreshableVersion="3" recordCount="10" xr:uid="{CDB2DCB9-E886-45CF-A208-88D3D1F48202}">
  <cacheSource type="worksheet">
    <worksheetSource ref="A1:I11" sheet="Data"/>
  </cacheSource>
  <cacheFields count="8">
    <cacheField name="Customer ID" numFmtId="0">
      <sharedItems/>
    </cacheField>
    <cacheField name="Customer Name" numFmtId="0">
      <sharedItems/>
    </cacheField>
    <cacheField name="City" numFmtId="0">
      <sharedItems count="4">
        <s v="Lahore"/>
        <s v="Islamabad"/>
        <s v="Karachi"/>
        <s v="Faisalabad"/>
      </sharedItems>
    </cacheField>
    <cacheField name="Product" numFmtId="0">
      <sharedItems count="4">
        <s v="Laptop"/>
        <s v="Mobile"/>
        <s v="Shirt"/>
        <s v="Shoes"/>
      </sharedItems>
    </cacheField>
    <cacheField name="Quantity" numFmtId="0">
      <sharedItems containsSemiMixedTypes="0" containsString="0" containsNumber="1" containsInteger="1" minValue="1" maxValue="5"/>
    </cacheField>
    <cacheField name="Price" numFmtId="164">
      <sharedItems containsSemiMixedTypes="0" containsString="0" containsNumber="1" containsInteger="1" minValue="2500" maxValue="80000"/>
    </cacheField>
    <cacheField name="Revenue" numFmtId="164">
      <sharedItems containsSemiMixedTypes="0" containsString="0" containsNumber="1" containsInteger="1" minValue="5000" maxValue="80000"/>
    </cacheField>
    <cacheField name="Order Date" numFmtId="165">
      <sharedItems containsSemiMixedTypes="0" containsNonDate="0" containsDate="1" containsString="0" minDate="2025-01-01T00:00:00" maxDate="2025-01-1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C001"/>
    <s v="Ali Khan"/>
    <x v="0"/>
    <x v="0"/>
    <n v="1"/>
    <n v="80000"/>
    <n v="80000"/>
    <d v="2025-01-01T00:00:00"/>
  </r>
  <r>
    <s v="C003"/>
    <s v="Ahmed Raza"/>
    <x v="1"/>
    <x v="0"/>
    <n v="1"/>
    <n v="80000"/>
    <n v="80000"/>
    <d v="2025-01-03T00:00:00"/>
  </r>
  <r>
    <s v="C002"/>
    <s v="Sara Ahmed"/>
    <x v="2"/>
    <x v="0"/>
    <n v="1"/>
    <n v="80000"/>
    <n v="80000"/>
    <d v="2025-01-11T00:00:00"/>
  </r>
  <r>
    <s v="C002"/>
    <s v="Sara Ahmed"/>
    <x v="2"/>
    <x v="1"/>
    <n v="2"/>
    <n v="30000"/>
    <n v="60000"/>
    <d v="2025-01-02T00:00:00"/>
  </r>
  <r>
    <s v="C003"/>
    <s v="Ahmed Raza"/>
    <x v="1"/>
    <x v="1"/>
    <n v="2"/>
    <n v="30000"/>
    <n v="60000"/>
    <d v="2025-01-10T00:00:00"/>
  </r>
  <r>
    <s v="C001"/>
    <s v="Ali Khan"/>
    <x v="0"/>
    <x v="1"/>
    <n v="1"/>
    <n v="30000"/>
    <n v="30000"/>
    <d v="2025-01-08T00:00:00"/>
  </r>
  <r>
    <s v="C005"/>
    <s v="Hina Noor"/>
    <x v="0"/>
    <x v="2"/>
    <n v="5"/>
    <n v="3000"/>
    <n v="15000"/>
    <d v="2025-01-09T00:00:00"/>
  </r>
  <r>
    <s v="C004"/>
    <s v="Usman Ali"/>
    <x v="3"/>
    <x v="3"/>
    <n v="4"/>
    <n v="2500"/>
    <n v="10000"/>
    <d v="2025-01-07T00:00:00"/>
  </r>
  <r>
    <s v="C002"/>
    <s v="Sara Ahmed"/>
    <x v="2"/>
    <x v="2"/>
    <n v="3"/>
    <n v="3000"/>
    <n v="9000"/>
    <d v="2025-01-06T00:00:00"/>
  </r>
  <r>
    <s v="C001"/>
    <s v="Ali Khan"/>
    <x v="0"/>
    <x v="3"/>
    <n v="2"/>
    <n v="2500"/>
    <n v="5000"/>
    <d v="2025-01-05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77BD8-D9C3-4B59-8D96-C6F7B2A30260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roduct">
  <location ref="D3:E8" firstHeaderRow="1" firstDataRow="1" firstDataCol="1"/>
  <pivotFields count="8">
    <pivotField showAll="0"/>
    <pivotField showAll="0"/>
    <pivotField showAll="0">
      <items count="5">
        <item x="3"/>
        <item x="1"/>
        <item x="2"/>
        <item x="0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numFmtId="164" showAll="0"/>
    <pivotField numFmtId="164" showAll="0"/>
    <pivotField numFmtId="165" showAll="0"/>
  </pivotFields>
  <rowFields count="1">
    <field x="3"/>
  </rowFields>
  <rowItems count="5">
    <i>
      <x v="2"/>
    </i>
    <i>
      <x v="3"/>
    </i>
    <i>
      <x v="1"/>
    </i>
    <i>
      <x/>
    </i>
    <i t="grand">
      <x/>
    </i>
  </rowItems>
  <colItems count="1">
    <i/>
  </colItems>
  <dataFields count="1">
    <dataField name="Total Quantity" fld="4" baseField="3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18E78-22FB-4F86-98AD-04513DD95310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 rowHeaderCaption="City">
  <location ref="A3:B8" firstHeaderRow="1" firstDataRow="1" firstDataCol="1"/>
  <pivotFields count="8"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numFmtId="164" showAll="0"/>
    <pivotField dataField="1" numFmtId="164" showAll="0"/>
    <pivotField numFmtId="165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Revune" fld="6" baseField="2" baseItem="0" numFmtId="164"/>
  </dataFields>
  <formats count="1">
    <format dxfId="1">
      <pivotArea outline="0" collapsedLevelsAreSubtotals="1" fieldPosition="0"/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1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15C261-B4AE-4BE0-8717-3AFDF64C2827}" name="Table2" displayName="Table2" ref="A1:H11" totalsRowShown="0" headerRowDxfId="9">
  <autoFilter ref="A1:H11" xr:uid="{2615C261-B4AE-4BE0-8717-3AFDF64C2827}"/>
  <tableColumns count="8">
    <tableColumn id="1" xr3:uid="{E4988BD8-556B-4FF4-98D8-9DF9A7EB97D9}" name="Customer ID"/>
    <tableColumn id="2" xr3:uid="{74561D54-AF23-41CF-A125-E110D54FA9A1}" name="Customer Name"/>
    <tableColumn id="3" xr3:uid="{DE8FA9F9-E30D-416B-92CB-FADE2F5C57AA}" name="City"/>
    <tableColumn id="4" xr3:uid="{A9A49C00-B4F9-4D56-A4A1-8D80FDF370C1}" name="Product"/>
    <tableColumn id="5" xr3:uid="{711EB8E8-D73F-4F11-A251-D324323A5288}" name="Quantity"/>
    <tableColumn id="6" xr3:uid="{41D08433-3C19-43DE-9FEE-090BD8650C50}" name="Price" dataDxfId="8"/>
    <tableColumn id="7" xr3:uid="{2B172672-8AE7-4CAF-86D8-985040082625}" name="Revenue" dataDxfId="7">
      <calculatedColumnFormula>E2*F2</calculatedColumnFormula>
    </tableColumn>
    <tableColumn id="8" xr3:uid="{3C36F0A1-D2D5-45B6-A0A0-BDE9FA55A286}" name="Order Date" dataDxfId="6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332B-E5A7-4B68-B414-24B361488EF3}">
  <dimension ref="A1:L19"/>
  <sheetViews>
    <sheetView zoomScale="150" zoomScaleNormal="150" workbookViewId="0">
      <selection activeCell="G13" sqref="G13"/>
    </sheetView>
  </sheetViews>
  <sheetFormatPr defaultRowHeight="14.5" x14ac:dyDescent="0.35"/>
  <cols>
    <col min="1" max="1" width="11.1796875" bestFit="1" customWidth="1"/>
    <col min="2" max="2" width="14.453125" bestFit="1" customWidth="1"/>
    <col min="3" max="3" width="18.453125" bestFit="1" customWidth="1"/>
    <col min="4" max="4" width="9.6328125" bestFit="1" customWidth="1"/>
    <col min="5" max="5" width="7.36328125" bestFit="1" customWidth="1"/>
    <col min="6" max="6" width="8" bestFit="1" customWidth="1"/>
    <col min="7" max="7" width="12.90625" customWidth="1"/>
    <col min="8" max="8" width="13" customWidth="1"/>
    <col min="9" max="9" width="10.453125" bestFit="1" customWidth="1"/>
    <col min="10" max="10" width="1.453125" customWidth="1"/>
    <col min="11" max="11" width="18" bestFit="1" customWidth="1"/>
    <col min="12" max="12" width="16.6328125" bestFit="1" customWidth="1"/>
  </cols>
  <sheetData>
    <row r="1" spans="1:12" s="1" customFormat="1" x14ac:dyDescent="0.35">
      <c r="A1" s="1" t="s">
        <v>0</v>
      </c>
      <c r="B1" s="1" t="s">
        <v>1</v>
      </c>
      <c r="C1" s="1" t="s">
        <v>27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12" x14ac:dyDescent="0.35">
      <c r="A2" t="s">
        <v>8</v>
      </c>
      <c r="B2" t="s">
        <v>14</v>
      </c>
      <c r="C2" t="s">
        <v>14</v>
      </c>
      <c r="D2" t="s">
        <v>18</v>
      </c>
      <c r="E2" t="s">
        <v>22</v>
      </c>
      <c r="F2">
        <v>1</v>
      </c>
      <c r="G2" s="2">
        <v>80000</v>
      </c>
      <c r="H2" s="2">
        <f t="shared" ref="H2:H11" si="0">F2*G2</f>
        <v>80000</v>
      </c>
      <c r="I2" s="3">
        <v>45658</v>
      </c>
      <c r="L2" s="10"/>
    </row>
    <row r="3" spans="1:12" x14ac:dyDescent="0.35">
      <c r="A3" t="s">
        <v>10</v>
      </c>
      <c r="B3" t="s">
        <v>16</v>
      </c>
      <c r="C3" t="s">
        <v>16</v>
      </c>
      <c r="D3" t="s">
        <v>20</v>
      </c>
      <c r="E3" t="s">
        <v>22</v>
      </c>
      <c r="F3">
        <v>1</v>
      </c>
      <c r="G3" s="2">
        <v>80000</v>
      </c>
      <c r="H3" s="2">
        <f t="shared" si="0"/>
        <v>80000</v>
      </c>
      <c r="I3" s="3">
        <v>45660</v>
      </c>
      <c r="L3" s="10"/>
    </row>
    <row r="4" spans="1:12" x14ac:dyDescent="0.35">
      <c r="A4" t="s">
        <v>9</v>
      </c>
      <c r="B4" t="s">
        <v>15</v>
      </c>
      <c r="C4" t="s">
        <v>15</v>
      </c>
      <c r="D4" t="s">
        <v>19</v>
      </c>
      <c r="E4" t="s">
        <v>22</v>
      </c>
      <c r="F4">
        <v>1</v>
      </c>
      <c r="G4" s="2">
        <v>80000</v>
      </c>
      <c r="H4" s="2">
        <f t="shared" si="0"/>
        <v>80000</v>
      </c>
      <c r="I4" s="3">
        <v>45668</v>
      </c>
      <c r="L4" s="10"/>
    </row>
    <row r="5" spans="1:12" x14ac:dyDescent="0.35">
      <c r="A5" t="s">
        <v>9</v>
      </c>
      <c r="B5" t="s">
        <v>15</v>
      </c>
      <c r="C5" t="s">
        <v>13</v>
      </c>
      <c r="D5" t="s">
        <v>19</v>
      </c>
      <c r="E5" t="s">
        <v>23</v>
      </c>
      <c r="F5">
        <v>2</v>
      </c>
      <c r="G5" s="2">
        <v>30000</v>
      </c>
      <c r="H5" s="2">
        <f t="shared" si="0"/>
        <v>60000</v>
      </c>
      <c r="I5" s="3">
        <v>45659</v>
      </c>
      <c r="L5" s="10"/>
    </row>
    <row r="6" spans="1:12" x14ac:dyDescent="0.35">
      <c r="A6" t="s">
        <v>10</v>
      </c>
      <c r="B6" t="s">
        <v>16</v>
      </c>
      <c r="C6" t="s">
        <v>17</v>
      </c>
      <c r="D6" t="s">
        <v>20</v>
      </c>
      <c r="E6" t="s">
        <v>23</v>
      </c>
      <c r="F6">
        <v>2</v>
      </c>
      <c r="G6" s="2">
        <v>30000</v>
      </c>
      <c r="H6" s="2">
        <f t="shared" si="0"/>
        <v>60000</v>
      </c>
      <c r="I6" s="3">
        <v>45667</v>
      </c>
    </row>
    <row r="7" spans="1:12" x14ac:dyDescent="0.35">
      <c r="A7" t="s">
        <v>8</v>
      </c>
      <c r="B7" t="s">
        <v>14</v>
      </c>
      <c r="D7" t="s">
        <v>18</v>
      </c>
      <c r="E7" t="s">
        <v>23</v>
      </c>
      <c r="F7">
        <v>1</v>
      </c>
      <c r="G7" s="2">
        <v>30000</v>
      </c>
      <c r="H7" s="2">
        <f t="shared" si="0"/>
        <v>30000</v>
      </c>
      <c r="I7" s="3">
        <v>45665</v>
      </c>
    </row>
    <row r="8" spans="1:12" x14ac:dyDescent="0.35">
      <c r="A8" t="s">
        <v>12</v>
      </c>
      <c r="B8" t="s">
        <v>13</v>
      </c>
      <c r="D8" t="s">
        <v>18</v>
      </c>
      <c r="E8" t="s">
        <v>25</v>
      </c>
      <c r="F8">
        <v>5</v>
      </c>
      <c r="G8" s="2">
        <v>3000</v>
      </c>
      <c r="H8" s="2">
        <f t="shared" si="0"/>
        <v>15000</v>
      </c>
      <c r="I8" s="3">
        <v>45666</v>
      </c>
    </row>
    <row r="9" spans="1:12" x14ac:dyDescent="0.35">
      <c r="A9" t="s">
        <v>11</v>
      </c>
      <c r="B9" t="s">
        <v>17</v>
      </c>
      <c r="D9" t="s">
        <v>21</v>
      </c>
      <c r="E9" t="s">
        <v>24</v>
      </c>
      <c r="F9">
        <v>4</v>
      </c>
      <c r="G9" s="2">
        <v>2500</v>
      </c>
      <c r="H9" s="2">
        <f t="shared" si="0"/>
        <v>10000</v>
      </c>
      <c r="I9" s="3">
        <v>45664</v>
      </c>
    </row>
    <row r="10" spans="1:12" x14ac:dyDescent="0.35">
      <c r="A10" t="s">
        <v>9</v>
      </c>
      <c r="B10" t="s">
        <v>15</v>
      </c>
      <c r="D10" t="s">
        <v>19</v>
      </c>
      <c r="E10" t="s">
        <v>25</v>
      </c>
      <c r="F10">
        <v>3</v>
      </c>
      <c r="G10" s="2">
        <v>3000</v>
      </c>
      <c r="H10" s="2">
        <f t="shared" si="0"/>
        <v>9000</v>
      </c>
      <c r="I10" s="3">
        <v>45663</v>
      </c>
    </row>
    <row r="11" spans="1:12" x14ac:dyDescent="0.35">
      <c r="A11" t="s">
        <v>8</v>
      </c>
      <c r="B11" t="s">
        <v>14</v>
      </c>
      <c r="D11" t="s">
        <v>18</v>
      </c>
      <c r="E11" t="s">
        <v>24</v>
      </c>
      <c r="F11">
        <v>2</v>
      </c>
      <c r="G11" s="2">
        <v>2500</v>
      </c>
      <c r="H11" s="2">
        <f t="shared" si="0"/>
        <v>5000</v>
      </c>
      <c r="I11" s="3">
        <v>45662</v>
      </c>
    </row>
    <row r="12" spans="1:12" x14ac:dyDescent="0.35">
      <c r="A12" s="7"/>
      <c r="B12" s="6"/>
      <c r="C12" s="7"/>
      <c r="H12" s="14"/>
    </row>
    <row r="13" spans="1:12" x14ac:dyDescent="0.35">
      <c r="A13" s="7"/>
      <c r="B13" s="7"/>
      <c r="C13" s="7"/>
      <c r="H13" s="13"/>
    </row>
    <row r="14" spans="1:12" x14ac:dyDescent="0.35">
      <c r="A14" s="6"/>
      <c r="B14" s="6"/>
      <c r="C14" s="6"/>
    </row>
    <row r="15" spans="1:12" x14ac:dyDescent="0.35">
      <c r="A15" s="6"/>
      <c r="B15" s="6"/>
      <c r="C15" s="6"/>
    </row>
    <row r="16" spans="1:12" x14ac:dyDescent="0.35">
      <c r="A16" s="6"/>
      <c r="B16" s="6"/>
      <c r="C16" s="6"/>
    </row>
    <row r="17" spans="1:3" x14ac:dyDescent="0.35">
      <c r="A17" s="6"/>
      <c r="B17" s="6"/>
      <c r="C17" s="6"/>
    </row>
    <row r="18" spans="1:3" x14ac:dyDescent="0.35">
      <c r="A18" s="6"/>
      <c r="B18" s="6"/>
      <c r="C18" s="6"/>
    </row>
    <row r="19" spans="1:3" x14ac:dyDescent="0.35">
      <c r="A19" s="6"/>
      <c r="B19" s="6"/>
      <c r="C19" s="6"/>
    </row>
  </sheetData>
  <sortState xmlns:xlrd2="http://schemas.microsoft.com/office/spreadsheetml/2017/richdata2" ref="K2:L5">
    <sortCondition descending="1" ref="L2:L5"/>
  </sortState>
  <conditionalFormatting sqref="H13:H1048576">
    <cfRule type="top10" dxfId="5" priority="1" rank="3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E019D-0A6A-4D55-85FE-F79F202C652C}">
  <dimension ref="A3:E8"/>
  <sheetViews>
    <sheetView zoomScale="200" zoomScaleNormal="200" workbookViewId="0">
      <selection activeCell="H9" sqref="H9"/>
    </sheetView>
  </sheetViews>
  <sheetFormatPr defaultRowHeight="14.5" x14ac:dyDescent="0.35"/>
  <cols>
    <col min="1" max="1" width="10.36328125" bestFit="1" customWidth="1"/>
    <col min="2" max="2" width="14.08984375" bestFit="1" customWidth="1"/>
    <col min="3" max="3" width="1.90625" customWidth="1"/>
    <col min="4" max="4" width="10.36328125" bestFit="1" customWidth="1"/>
    <col min="5" max="5" width="12.453125" bestFit="1" customWidth="1"/>
    <col min="6" max="6" width="2.36328125" customWidth="1"/>
    <col min="7" max="7" width="10.36328125" bestFit="1" customWidth="1"/>
    <col min="8" max="8" width="14.36328125" bestFit="1" customWidth="1"/>
  </cols>
  <sheetData>
    <row r="3" spans="1:5" x14ac:dyDescent="0.35">
      <c r="A3" s="8" t="s">
        <v>2</v>
      </c>
      <c r="B3" t="s">
        <v>29</v>
      </c>
      <c r="D3" s="8" t="s">
        <v>3</v>
      </c>
      <c r="E3" t="s">
        <v>32</v>
      </c>
    </row>
    <row r="4" spans="1:5" x14ac:dyDescent="0.35">
      <c r="A4" s="9" t="s">
        <v>21</v>
      </c>
      <c r="B4" s="2">
        <v>10000</v>
      </c>
      <c r="D4" s="9" t="s">
        <v>25</v>
      </c>
      <c r="E4" s="10">
        <v>8</v>
      </c>
    </row>
    <row r="5" spans="1:5" x14ac:dyDescent="0.35">
      <c r="A5" s="9" t="s">
        <v>20</v>
      </c>
      <c r="B5" s="2">
        <v>140000</v>
      </c>
      <c r="D5" s="9" t="s">
        <v>24</v>
      </c>
      <c r="E5" s="10">
        <v>6</v>
      </c>
    </row>
    <row r="6" spans="1:5" x14ac:dyDescent="0.35">
      <c r="A6" s="9" t="s">
        <v>19</v>
      </c>
      <c r="B6" s="2">
        <v>149000</v>
      </c>
      <c r="D6" s="9" t="s">
        <v>23</v>
      </c>
      <c r="E6" s="10">
        <v>5</v>
      </c>
    </row>
    <row r="7" spans="1:5" x14ac:dyDescent="0.35">
      <c r="A7" s="9" t="s">
        <v>18</v>
      </c>
      <c r="B7" s="2">
        <v>130000</v>
      </c>
      <c r="D7" s="9" t="s">
        <v>22</v>
      </c>
      <c r="E7" s="10">
        <v>3</v>
      </c>
    </row>
    <row r="8" spans="1:5" x14ac:dyDescent="0.35">
      <c r="A8" s="9" t="s">
        <v>28</v>
      </c>
      <c r="B8" s="2">
        <v>429000</v>
      </c>
      <c r="D8" s="9" t="s">
        <v>28</v>
      </c>
      <c r="E8" s="10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9FB76-22A2-4514-91CF-05E2838AE0CD}">
  <dimension ref="A1:G9"/>
  <sheetViews>
    <sheetView zoomScale="140" zoomScaleNormal="140" workbookViewId="0">
      <selection activeCell="C14" sqref="C14"/>
    </sheetView>
  </sheetViews>
  <sheetFormatPr defaultRowHeight="14.5" x14ac:dyDescent="0.35"/>
  <cols>
    <col min="1" max="1" width="18.453125" bestFit="1" customWidth="1"/>
    <col min="2" max="2" width="14.453125" bestFit="1" customWidth="1"/>
    <col min="3" max="3" width="14.453125" customWidth="1"/>
    <col min="4" max="4" width="6.90625" bestFit="1" customWidth="1"/>
    <col min="5" max="5" width="21.81640625" bestFit="1" customWidth="1"/>
    <col min="6" max="6" width="18" bestFit="1" customWidth="1"/>
    <col min="7" max="7" width="12.453125" bestFit="1" customWidth="1"/>
  </cols>
  <sheetData>
    <row r="1" spans="1:7" x14ac:dyDescent="0.35">
      <c r="A1" s="4" t="s">
        <v>27</v>
      </c>
      <c r="B1" s="4" t="s">
        <v>26</v>
      </c>
      <c r="C1" s="4" t="s">
        <v>30</v>
      </c>
      <c r="D1" s="4" t="s">
        <v>2</v>
      </c>
      <c r="E1" s="4" t="s">
        <v>31</v>
      </c>
      <c r="F1" s="4" t="s">
        <v>33</v>
      </c>
      <c r="G1" s="4" t="s">
        <v>32</v>
      </c>
    </row>
    <row r="2" spans="1:7" x14ac:dyDescent="0.35">
      <c r="A2" s="5" t="s">
        <v>14</v>
      </c>
      <c r="B2" s="5" t="s">
        <v>14</v>
      </c>
      <c r="C2" s="11">
        <v>80000</v>
      </c>
      <c r="D2" s="5" t="s">
        <v>19</v>
      </c>
      <c r="E2" s="11">
        <v>149000</v>
      </c>
      <c r="F2" s="5" t="s">
        <v>25</v>
      </c>
      <c r="G2" s="12">
        <v>8</v>
      </c>
    </row>
    <row r="3" spans="1:7" x14ac:dyDescent="0.35">
      <c r="A3" s="5" t="s">
        <v>16</v>
      </c>
      <c r="B3" s="5" t="s">
        <v>16</v>
      </c>
      <c r="C3" s="11">
        <v>80000</v>
      </c>
    </row>
    <row r="4" spans="1:7" x14ac:dyDescent="0.35">
      <c r="A4" s="5" t="s">
        <v>15</v>
      </c>
      <c r="B4" s="5" t="s">
        <v>15</v>
      </c>
      <c r="C4" s="11">
        <v>80000</v>
      </c>
    </row>
    <row r="5" spans="1:7" x14ac:dyDescent="0.35">
      <c r="A5" s="5" t="s">
        <v>13</v>
      </c>
    </row>
    <row r="6" spans="1:7" x14ac:dyDescent="0.35">
      <c r="A6" s="5" t="s">
        <v>17</v>
      </c>
    </row>
    <row r="8" spans="1:7" x14ac:dyDescent="0.35">
      <c r="A8" s="4" t="s">
        <v>34</v>
      </c>
      <c r="B8" s="15" t="s">
        <v>35</v>
      </c>
      <c r="C8" s="15"/>
    </row>
    <row r="9" spans="1:7" x14ac:dyDescent="0.35">
      <c r="A9" s="4" t="s">
        <v>30</v>
      </c>
      <c r="B9" s="14">
        <v>429000</v>
      </c>
      <c r="C9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723A3-B114-4566-AB02-FFCCC66DCB5E}">
  <dimension ref="A1:H11"/>
  <sheetViews>
    <sheetView zoomScale="120" zoomScaleNormal="120" workbookViewId="0">
      <selection activeCell="C6" sqref="C6"/>
    </sheetView>
  </sheetViews>
  <sheetFormatPr defaultRowHeight="14.5" x14ac:dyDescent="0.35"/>
  <cols>
    <col min="1" max="1" width="13.26953125" customWidth="1"/>
    <col min="2" max="2" width="16.6328125" bestFit="1" customWidth="1"/>
    <col min="3" max="4" width="9.6328125" bestFit="1" customWidth="1"/>
    <col min="5" max="5" width="10.26953125" bestFit="1" customWidth="1"/>
    <col min="6" max="6" width="10" bestFit="1" customWidth="1"/>
    <col min="7" max="7" width="10.36328125" bestFit="1" customWidth="1"/>
    <col min="8" max="8" width="1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14</v>
      </c>
      <c r="C2" t="s">
        <v>18</v>
      </c>
      <c r="D2" t="s">
        <v>22</v>
      </c>
      <c r="E2">
        <v>1</v>
      </c>
      <c r="F2" s="2">
        <v>80000</v>
      </c>
      <c r="G2" s="2">
        <f>E2*F2</f>
        <v>80000</v>
      </c>
      <c r="H2" s="3">
        <v>45658</v>
      </c>
    </row>
    <row r="3" spans="1:8" x14ac:dyDescent="0.35">
      <c r="A3" t="s">
        <v>9</v>
      </c>
      <c r="B3" t="s">
        <v>15</v>
      </c>
      <c r="C3" t="s">
        <v>19</v>
      </c>
      <c r="D3" t="s">
        <v>23</v>
      </c>
      <c r="E3">
        <v>2</v>
      </c>
      <c r="F3" s="2">
        <v>30000</v>
      </c>
      <c r="G3" s="2">
        <f t="shared" ref="G3:G11" si="0">E3*F3</f>
        <v>60000</v>
      </c>
      <c r="H3" s="3">
        <v>45659</v>
      </c>
    </row>
    <row r="4" spans="1:8" x14ac:dyDescent="0.35">
      <c r="A4" t="s">
        <v>8</v>
      </c>
      <c r="B4" t="s">
        <v>14</v>
      </c>
      <c r="C4" t="s">
        <v>18</v>
      </c>
      <c r="D4" t="s">
        <v>24</v>
      </c>
      <c r="E4">
        <v>2</v>
      </c>
      <c r="F4" s="2">
        <v>2500</v>
      </c>
      <c r="G4" s="2">
        <f t="shared" si="0"/>
        <v>5000</v>
      </c>
      <c r="H4" s="3">
        <v>45662</v>
      </c>
    </row>
    <row r="5" spans="1:8" x14ac:dyDescent="0.35">
      <c r="A5" t="s">
        <v>10</v>
      </c>
      <c r="B5" t="s">
        <v>16</v>
      </c>
      <c r="C5" t="s">
        <v>20</v>
      </c>
      <c r="D5" t="s">
        <v>22</v>
      </c>
      <c r="E5">
        <v>1</v>
      </c>
      <c r="F5" s="2">
        <v>80000</v>
      </c>
      <c r="G5" s="2">
        <f t="shared" si="0"/>
        <v>80000</v>
      </c>
      <c r="H5" s="3">
        <v>45660</v>
      </c>
    </row>
    <row r="6" spans="1:8" x14ac:dyDescent="0.35">
      <c r="A6" t="s">
        <v>9</v>
      </c>
      <c r="B6" t="s">
        <v>15</v>
      </c>
      <c r="C6" t="s">
        <v>19</v>
      </c>
      <c r="D6" t="s">
        <v>25</v>
      </c>
      <c r="E6">
        <v>3</v>
      </c>
      <c r="F6" s="2">
        <v>3000</v>
      </c>
      <c r="G6" s="2">
        <f t="shared" si="0"/>
        <v>9000</v>
      </c>
      <c r="H6" s="3">
        <v>45663</v>
      </c>
    </row>
    <row r="7" spans="1:8" x14ac:dyDescent="0.35">
      <c r="A7" t="s">
        <v>11</v>
      </c>
      <c r="B7" t="s">
        <v>17</v>
      </c>
      <c r="C7" t="s">
        <v>21</v>
      </c>
      <c r="D7" t="s">
        <v>24</v>
      </c>
      <c r="E7">
        <v>4</v>
      </c>
      <c r="F7" s="2">
        <v>2500</v>
      </c>
      <c r="G7" s="2">
        <f t="shared" si="0"/>
        <v>10000</v>
      </c>
      <c r="H7" s="3">
        <v>45664</v>
      </c>
    </row>
    <row r="8" spans="1:8" x14ac:dyDescent="0.35">
      <c r="A8" t="s">
        <v>8</v>
      </c>
      <c r="B8" t="s">
        <v>14</v>
      </c>
      <c r="C8" t="s">
        <v>18</v>
      </c>
      <c r="D8" t="s">
        <v>23</v>
      </c>
      <c r="E8">
        <v>1</v>
      </c>
      <c r="F8" s="2">
        <v>30000</v>
      </c>
      <c r="G8" s="2">
        <f t="shared" si="0"/>
        <v>30000</v>
      </c>
      <c r="H8" s="3">
        <v>45665</v>
      </c>
    </row>
    <row r="9" spans="1:8" x14ac:dyDescent="0.35">
      <c r="A9" t="s">
        <v>12</v>
      </c>
      <c r="B9" t="s">
        <v>13</v>
      </c>
      <c r="C9" t="s">
        <v>18</v>
      </c>
      <c r="D9" t="s">
        <v>25</v>
      </c>
      <c r="E9">
        <v>5</v>
      </c>
      <c r="F9" s="2">
        <v>3000</v>
      </c>
      <c r="G9" s="2">
        <f t="shared" si="0"/>
        <v>15000</v>
      </c>
      <c r="H9" s="3">
        <v>45666</v>
      </c>
    </row>
    <row r="10" spans="1:8" x14ac:dyDescent="0.35">
      <c r="A10" t="s">
        <v>10</v>
      </c>
      <c r="B10" t="s">
        <v>16</v>
      </c>
      <c r="C10" t="s">
        <v>20</v>
      </c>
      <c r="D10" t="s">
        <v>23</v>
      </c>
      <c r="E10">
        <v>2</v>
      </c>
      <c r="F10" s="2">
        <v>30000</v>
      </c>
      <c r="G10" s="2">
        <f t="shared" si="0"/>
        <v>60000</v>
      </c>
      <c r="H10" s="3">
        <v>45667</v>
      </c>
    </row>
    <row r="11" spans="1:8" x14ac:dyDescent="0.35">
      <c r="A11" t="s">
        <v>9</v>
      </c>
      <c r="B11" t="s">
        <v>15</v>
      </c>
      <c r="C11" t="s">
        <v>19</v>
      </c>
      <c r="D11" t="s">
        <v>22</v>
      </c>
      <c r="E11">
        <v>1</v>
      </c>
      <c r="F11" s="2">
        <v>80000</v>
      </c>
      <c r="G11" s="2">
        <f t="shared" si="0"/>
        <v>80000</v>
      </c>
      <c r="H11" s="3">
        <v>45668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CA86-9F19-4620-B76C-89B1BA406C6C}">
  <dimension ref="A1:D17"/>
  <sheetViews>
    <sheetView showGridLines="0" tabSelected="1" zoomScale="150" zoomScaleNormal="150" workbookViewId="0">
      <selection activeCell="B2" sqref="B2"/>
    </sheetView>
  </sheetViews>
  <sheetFormatPr defaultRowHeight="14.5" x14ac:dyDescent="0.35"/>
  <cols>
    <col min="1" max="1" width="31" customWidth="1"/>
    <col min="2" max="2" width="40.08984375" customWidth="1"/>
    <col min="3" max="3" width="39.36328125" customWidth="1"/>
  </cols>
  <sheetData>
    <row r="1" spans="1:4" ht="33" customHeight="1" x14ac:dyDescent="0.35">
      <c r="A1" s="18" t="s">
        <v>36</v>
      </c>
      <c r="B1" s="18" t="s">
        <v>27</v>
      </c>
      <c r="C1" s="18" t="s">
        <v>30</v>
      </c>
      <c r="D1" s="5"/>
    </row>
    <row r="2" spans="1:4" ht="21" x14ac:dyDescent="0.5">
      <c r="A2" s="16">
        <v>10</v>
      </c>
      <c r="B2" s="16">
        <v>5</v>
      </c>
      <c r="C2" s="17">
        <v>429000</v>
      </c>
      <c r="D2" s="5"/>
    </row>
    <row r="3" spans="1:4" x14ac:dyDescent="0.35">
      <c r="A3" s="5"/>
      <c r="B3" s="5"/>
      <c r="C3" s="5"/>
      <c r="D3" s="5"/>
    </row>
    <row r="4" spans="1:4" x14ac:dyDescent="0.35">
      <c r="A4" s="5"/>
      <c r="B4" s="5"/>
      <c r="C4" s="5"/>
      <c r="D4" s="5"/>
    </row>
    <row r="5" spans="1:4" x14ac:dyDescent="0.35">
      <c r="A5" s="5"/>
      <c r="B5" s="5"/>
      <c r="C5" s="5"/>
      <c r="D5" s="5"/>
    </row>
    <row r="6" spans="1:4" x14ac:dyDescent="0.35">
      <c r="A6" s="5"/>
      <c r="B6" s="5"/>
      <c r="C6" s="5"/>
      <c r="D6" s="5"/>
    </row>
    <row r="7" spans="1:4" x14ac:dyDescent="0.35">
      <c r="A7" s="5"/>
      <c r="B7" s="5"/>
      <c r="C7" s="5"/>
      <c r="D7" s="5"/>
    </row>
    <row r="8" spans="1:4" x14ac:dyDescent="0.35">
      <c r="A8" s="5"/>
      <c r="B8" s="5"/>
      <c r="C8" s="5"/>
      <c r="D8" s="5"/>
    </row>
    <row r="9" spans="1:4" x14ac:dyDescent="0.35">
      <c r="A9" s="5"/>
      <c r="B9" s="5"/>
      <c r="C9" s="5"/>
      <c r="D9" s="5"/>
    </row>
    <row r="10" spans="1:4" x14ac:dyDescent="0.35">
      <c r="A10" s="5"/>
      <c r="B10" s="5"/>
      <c r="C10" s="5"/>
      <c r="D10" s="5"/>
    </row>
    <row r="11" spans="1:4" x14ac:dyDescent="0.35">
      <c r="A11" s="5"/>
      <c r="B11" s="5"/>
      <c r="C11" s="5"/>
      <c r="D11" s="5"/>
    </row>
    <row r="12" spans="1:4" x14ac:dyDescent="0.35">
      <c r="A12" s="5"/>
      <c r="B12" s="5"/>
      <c r="C12" s="5"/>
      <c r="D12" s="5"/>
    </row>
    <row r="13" spans="1:4" x14ac:dyDescent="0.35">
      <c r="A13" s="5"/>
      <c r="B13" s="5"/>
      <c r="C13" s="5"/>
      <c r="D13" s="5"/>
    </row>
    <row r="14" spans="1:4" x14ac:dyDescent="0.35">
      <c r="A14" s="5"/>
      <c r="B14" s="5"/>
      <c r="C14" s="5"/>
      <c r="D14" s="5"/>
    </row>
    <row r="15" spans="1:4" x14ac:dyDescent="0.35">
      <c r="A15" s="5"/>
      <c r="B15" s="5"/>
      <c r="C15" s="5"/>
      <c r="D15" s="5"/>
    </row>
    <row r="16" spans="1:4" x14ac:dyDescent="0.35">
      <c r="A16" s="5"/>
      <c r="B16" s="5"/>
      <c r="C16" s="5"/>
      <c r="D16" s="5"/>
    </row>
    <row r="17" spans="1:4" x14ac:dyDescent="0.35">
      <c r="A17" s="5"/>
      <c r="B17" s="5"/>
      <c r="C17" s="5"/>
      <c r="D1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PivotTable</vt:lpstr>
      <vt:lpstr>Analysis</vt:lpstr>
      <vt:lpstr>Table</vt:lpstr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irtizaabbas05@gmail.com</dc:creator>
  <cp:lastModifiedBy>irtizaabbas05@gmail.com</cp:lastModifiedBy>
  <dcterms:created xsi:type="dcterms:W3CDTF">2026-04-14T16:29:05Z</dcterms:created>
  <dcterms:modified xsi:type="dcterms:W3CDTF">2026-04-17T17:47:54Z</dcterms:modified>
</cp:coreProperties>
</file>