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 Practice\"/>
    </mc:Choice>
  </mc:AlternateContent>
  <xr:revisionPtr revIDLastSave="0" documentId="13_ncr:1_{EA12AE3E-88AD-480F-A0E4-571D4F8B3C59}" xr6:coauthVersionLast="47" xr6:coauthVersionMax="47" xr10:uidLastSave="{00000000-0000-0000-0000-000000000000}"/>
  <bookViews>
    <workbookView xWindow="-110" yWindow="-110" windowWidth="19420" windowHeight="10420" tabRatio="616" activeTab="4" xr2:uid="{F3870505-9E00-44F8-95C8-1FA883FE3B8B}"/>
  </bookViews>
  <sheets>
    <sheet name="Raw_Financial_Data" sheetId="1" r:id="rId1"/>
    <sheet name="Sheet1" sheetId="6" r:id="rId2"/>
    <sheet name="Cleaned_Data" sheetId="2" r:id="rId3"/>
    <sheet name="Financial_Analysis" sheetId="3" r:id="rId4"/>
    <sheet name="Executive_Dashboard" sheetId="4" r:id="rId5"/>
    <sheet name="Sheet2" sheetId="7" r:id="rId6"/>
    <sheet name="Executive_Insights" sheetId="5" r:id="rId7"/>
  </sheets>
  <calcPr calcId="191029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8" i="2" l="1"/>
  <c r="M17" i="2"/>
  <c r="M16" i="2"/>
  <c r="M19" i="2"/>
  <c r="E3" i="6"/>
  <c r="E4" i="6"/>
  <c r="E5" i="6"/>
  <c r="E2" i="6"/>
  <c r="G20" i="2"/>
  <c r="E20" i="2"/>
  <c r="D20" i="2"/>
  <c r="C20" i="2"/>
  <c r="R10" i="2"/>
  <c r="R11" i="2"/>
  <c r="R12" i="2"/>
  <c r="R9" i="2"/>
  <c r="O10" i="2"/>
  <c r="O11" i="2"/>
  <c r="O12" i="2"/>
  <c r="O9" i="2"/>
  <c r="N10" i="2"/>
  <c r="M9" i="2"/>
  <c r="P9" i="2" s="1"/>
  <c r="M10" i="2"/>
  <c r="P10" i="2" s="1"/>
  <c r="M11" i="2"/>
  <c r="P11" i="2" s="1"/>
  <c r="M12" i="2"/>
  <c r="P12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2" i="2"/>
  <c r="N3" i="2"/>
  <c r="N4" i="2"/>
  <c r="N5" i="2"/>
  <c r="N2" i="2"/>
  <c r="M3" i="2"/>
  <c r="Q3" i="2" s="1"/>
  <c r="M4" i="2"/>
  <c r="Q4" i="2" s="1"/>
  <c r="M5" i="2"/>
  <c r="Q5" i="2" s="1"/>
  <c r="M2" i="2"/>
  <c r="Q2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2" i="2"/>
  <c r="I3" i="2"/>
  <c r="I4" i="2"/>
  <c r="N11" i="2" s="1"/>
  <c r="I5" i="2"/>
  <c r="N12" i="2" s="1"/>
  <c r="I6" i="2"/>
  <c r="I7" i="2"/>
  <c r="I8" i="2"/>
  <c r="I9" i="2"/>
  <c r="I10" i="2"/>
  <c r="I11" i="2"/>
  <c r="I12" i="2"/>
  <c r="I13" i="2"/>
  <c r="I14" i="2"/>
  <c r="I15" i="2"/>
  <c r="I16" i="2"/>
  <c r="I17" i="2"/>
  <c r="I2" i="2"/>
  <c r="I20" i="2" s="1"/>
  <c r="N9" i="2" l="1"/>
  <c r="Q9" i="2" s="1"/>
  <c r="S9" i="2" s="1"/>
  <c r="O2" i="2"/>
  <c r="P2" i="2" s="1"/>
  <c r="O5" i="2"/>
  <c r="P5" i="2" s="1"/>
  <c r="O3" i="2"/>
  <c r="P3" i="2" s="1"/>
  <c r="O4" i="2"/>
  <c r="P4" i="2" s="1"/>
  <c r="Q11" i="2" l="1"/>
  <c r="S11" i="2" s="1"/>
  <c r="Q12" i="2"/>
  <c r="S12" i="2" s="1"/>
  <c r="Q10" i="2"/>
  <c r="S10" i="2" s="1"/>
</calcChain>
</file>

<file path=xl/sharedStrings.xml><?xml version="1.0" encoding="utf-8"?>
<sst xmlns="http://schemas.openxmlformats.org/spreadsheetml/2006/main" count="221" uniqueCount="43">
  <si>
    <t>Month</t>
  </si>
  <si>
    <t>Department</t>
  </si>
  <si>
    <t>Revenue</t>
  </si>
  <si>
    <t>Expenses</t>
  </si>
  <si>
    <t>Employees</t>
  </si>
  <si>
    <t>Manager</t>
  </si>
  <si>
    <t>January</t>
  </si>
  <si>
    <t>Sales</t>
  </si>
  <si>
    <t>Ahmed</t>
  </si>
  <si>
    <t>Marketing</t>
  </si>
  <si>
    <t>Bilal</t>
  </si>
  <si>
    <t>IT</t>
  </si>
  <si>
    <t>Zain</t>
  </si>
  <si>
    <t>HR</t>
  </si>
  <si>
    <t>Sara</t>
  </si>
  <si>
    <t>February</t>
  </si>
  <si>
    <t>March</t>
  </si>
  <si>
    <t>April</t>
  </si>
  <si>
    <t>Profit</t>
  </si>
  <si>
    <t>Profit Margin %</t>
  </si>
  <si>
    <t>Revenue Per Employee</t>
  </si>
  <si>
    <t>Row Labels</t>
  </si>
  <si>
    <t>Grand Total</t>
  </si>
  <si>
    <t>Total Revenue</t>
  </si>
  <si>
    <t>Total Profit</t>
  </si>
  <si>
    <t>Total Sales</t>
  </si>
  <si>
    <t>Sum of Expenses</t>
  </si>
  <si>
    <t>Expense Rank</t>
  </si>
  <si>
    <t>Profit Rank</t>
  </si>
  <si>
    <t>Revenue Rank</t>
  </si>
  <si>
    <t>Total Expenses</t>
  </si>
  <si>
    <t>Total Profit Margin %</t>
  </si>
  <si>
    <t>Average Expenses</t>
  </si>
  <si>
    <t>Average Profit Margin</t>
  </si>
  <si>
    <t>Average Revenue Per Employee</t>
  </si>
  <si>
    <t>Profit Margin</t>
  </si>
  <si>
    <t>Sum of Profit Margin</t>
  </si>
  <si>
    <t>Total Score</t>
  </si>
  <si>
    <t>Highest Revenue</t>
  </si>
  <si>
    <t xml:space="preserve">Profit Margin % </t>
  </si>
  <si>
    <t>Distributors</t>
  </si>
  <si>
    <t>Departments</t>
  </si>
  <si>
    <t>Executive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</si>
</sst>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s-420]\ * #,##0_-;\-[$Rs-420]\ * #,##0_-;_-[$Rs-420]\ 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u val="double"/>
      <sz val="36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1" xfId="0" applyNumberFormat="1" applyBorder="1"/>
    <xf numFmtId="9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1" xfId="0" applyBorder="1"/>
    <xf numFmtId="0" fontId="0" fillId="0" borderId="1" xfId="0" applyNumberFormat="1" applyBorder="1"/>
    <xf numFmtId="10" fontId="0" fillId="0" borderId="1" xfId="0" applyNumberFormat="1" applyBorder="1"/>
    <xf numFmtId="1" fontId="0" fillId="0" borderId="1" xfId="0" applyNumberFormat="1" applyBorder="1"/>
    <xf numFmtId="0" fontId="1" fillId="0" borderId="1" xfId="0" applyFont="1" applyBorder="1"/>
    <xf numFmtId="2" fontId="0" fillId="0" borderId="1" xfId="0" applyNumberFormat="1" applyBorder="1"/>
    <xf numFmtId="0" fontId="1" fillId="0" borderId="1" xfId="0" applyFont="1" applyFill="1" applyBorder="1"/>
    <xf numFmtId="9" fontId="1" fillId="0" borderId="0" xfId="0" applyNumberFormat="1" applyFont="1"/>
    <xf numFmtId="0" fontId="1" fillId="0" borderId="1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10" fontId="0" fillId="0" borderId="0" xfId="0" applyNumberForma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>
          <bgColor rgb="FFC00000"/>
        </patternFill>
      </fill>
    </dxf>
    <dxf>
      <numFmt numFmtId="164" formatCode="_-[$Rs-420]\ * #,##0_-;\-[$Rs-420]\ * #,##0_-;_-[$Rs-420]\ * &quot;-&quot;??_-;_-@_-"/>
    </dxf>
    <dxf>
      <numFmt numFmtId="14" formatCode="0.00%"/>
    </dxf>
    <dxf>
      <numFmt numFmtId="164" formatCode="_-[$Rs-420]\ * #,##0_-;\-[$Rs-420]\ * #,##0_-;_-[$Rs-420]\ * &quot;-&quot;??_-;_-@_-"/>
    </dxf>
    <dxf>
      <numFmt numFmtId="14" formatCode="0.00%"/>
    </dxf>
    <dxf>
      <numFmt numFmtId="164" formatCode="_-[$Rs-420]\ * #,##0_-;\-[$Rs-420]\ * #,##0_-;_-[$Rs-420]\ * &quot;-&quot;??_-;_-@_-"/>
    </dxf>
    <dxf>
      <numFmt numFmtId="164" formatCode="_-[$Rs-420]\ * #,##0_-;\-[$Rs-420]\ * #,##0_-;_-[$Rs-420]\ * &quot;-&quot;??_-;_-@_-"/>
    </dxf>
    <dxf>
      <numFmt numFmtId="2" formatCode="0.00"/>
    </dxf>
    <dxf>
      <numFmt numFmtId="164" formatCode="_-[$Rs-420]\ * #,##0_-;\-[$Rs-420]\ * #,##0_-;_-[$Rs-420]\ * &quot;-&quot;??_-;_-@_-"/>
    </dxf>
    <dxf>
      <numFmt numFmtId="164" formatCode="_-[$Rs-420]\ * #,##0_-;\-[$Rs-420]\ * #,##0_-;_-[$Rs-420]\ * &quot;-&quot;??_-;_-@_-"/>
    </dxf>
    <dxf>
      <numFmt numFmtId="164" formatCode="_-[$Rs-420]\ * #,##0_-;\-[$Rs-420]\ * #,##0_-;_-[$Rs-420]\ * &quot;-&quot;??_-;_-@_-"/>
    </dxf>
    <dxf>
      <numFmt numFmtId="164" formatCode="_-[$Rs-420]\ * #,##0_-;\-[$Rs-420]\ * #,##0_-;_-[$Rs-420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[Financial_Analysis_PROJECT.xlsx]Executive_Dashboard!PivotTable1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Revenue</a:t>
            </a:r>
            <a:r>
              <a:rPr lang="en-US" sz="1400" b="1" baseline="0"/>
              <a:t> By Department</a:t>
            </a:r>
            <a:endParaRPr lang="en-US" sz="1400" b="1"/>
          </a:p>
        </c:rich>
      </c:tx>
      <c:overlay val="0"/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Executive_Dashboard!$B$9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Executive_Dashboard!$A$10:$A$14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Executive_Dashboard!$B$10:$B$14</c:f>
              <c:numCache>
                <c:formatCode>_-[$Rs-420]\ * #,##0_-;\-[$Rs-420]\ * #,##0_-;_-[$Rs-420]\ * "-"??_-;_-@_-</c:formatCode>
                <c:ptCount val="4"/>
                <c:pt idx="0">
                  <c:v>31000</c:v>
                </c:pt>
                <c:pt idx="1">
                  <c:v>55500</c:v>
                </c:pt>
                <c:pt idx="2">
                  <c:v>46500</c:v>
                </c:pt>
                <c:pt idx="3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B-4F3E-ABCD-7721E7AE5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8260640"/>
        <c:axId val="2108261600"/>
      </c:barChart>
      <c:catAx>
        <c:axId val="210826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261600"/>
        <c:crosses val="autoZero"/>
        <c:auto val="1"/>
        <c:lblAlgn val="ctr"/>
        <c:lblOffset val="100"/>
        <c:noMultiLvlLbl val="0"/>
      </c:catAx>
      <c:valAx>
        <c:axId val="2108261600"/>
        <c:scaling>
          <c:orientation val="minMax"/>
        </c:scaling>
        <c:delete val="1"/>
        <c:axPos val="b"/>
        <c:numFmt formatCode="_-[$Rs-420]\ * #,##0_-;\-[$Rs-420]\ * #,##0_-;_-[$Rs-420]\ * &quot;-&quot;??_-;_-@_-" sourceLinked="1"/>
        <c:majorTickMark val="none"/>
        <c:minorTickMark val="none"/>
        <c:tickLblPos val="nextTo"/>
        <c:crossAx val="210826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[Financial_Analysis_PROJECT.xlsx]Executive_Dashboard!PivotTable2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Executive_Dashboard!$D$18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Executive_Dashboard!$C$19:$C$23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Executive_Dashboard!$D$19:$D$23</c:f>
              <c:numCache>
                <c:formatCode>_-[$Rs-420]\ * #,##0_-;\-[$Rs-420]\ * #,##0_-;_-[$Rs-420]\ * "-"??_-;_-@_-</c:formatCode>
                <c:ptCount val="4"/>
                <c:pt idx="0">
                  <c:v>14500</c:v>
                </c:pt>
                <c:pt idx="1">
                  <c:v>18500</c:v>
                </c:pt>
                <c:pt idx="2">
                  <c:v>21700</c:v>
                </c:pt>
                <c:pt idx="3">
                  <c:v>24500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D9-4963-B94C-427765608FD6}"/>
            </c:ext>
          </c:extLst>
        </c:ser>
        <c:ser>
          <c:idx val="1"/>
          <c:order val="1"/>
          <c:tx>
            <c:strRef>
              <c:f>Executive_Dashboard!$E$18</c:f>
              <c:strCache>
                <c:ptCount val="1"/>
                <c:pt idx="0">
                  <c:v>Profit Margin %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Executive_Dashboard!$C$19:$C$23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Executive_Dashboard!$E$19:$E$23</c:f>
              <c:numCache>
                <c:formatCode>0.00%</c:formatCode>
                <c:ptCount val="4"/>
                <c:pt idx="0">
                  <c:v>0.21417956860057522</c:v>
                </c:pt>
                <c:pt idx="1">
                  <c:v>0.24516608654196467</c:v>
                </c:pt>
                <c:pt idx="2">
                  <c:v>0.26504903968385163</c:v>
                </c:pt>
                <c:pt idx="3">
                  <c:v>0.27560530517360854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D9-4963-B94C-427765608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587136"/>
        <c:axId val="2108588096"/>
      </c:lineChart>
      <c:catAx>
        <c:axId val="210858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588096"/>
        <c:crosses val="autoZero"/>
        <c:auto val="1"/>
        <c:lblAlgn val="ctr"/>
        <c:lblOffset val="100"/>
        <c:noMultiLvlLbl val="0"/>
      </c:catAx>
      <c:valAx>
        <c:axId val="2108588096"/>
        <c:scaling>
          <c:orientation val="minMax"/>
        </c:scaling>
        <c:delete val="1"/>
        <c:axPos val="l"/>
        <c:numFmt formatCode="_-[$Rs-420]\ * #,##0_-;\-[$Rs-420]\ * #,##0_-;_-[$Rs-420]\ * &quot;-&quot;??_-;_-@_-" sourceLinked="1"/>
        <c:majorTickMark val="none"/>
        <c:minorTickMark val="none"/>
        <c:tickLblPos val="nextTo"/>
        <c:crossAx val="210858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[Financial_Analysis_PROJECT.xlsx]Executive_Dashboard!PivotTable3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Executive_Dashboard!$N$9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Executive_Dashboard!$M$10:$M$14</c:f>
              <c:strCache>
                <c:ptCount val="4"/>
                <c:pt idx="0">
                  <c:v>Ahmed</c:v>
                </c:pt>
                <c:pt idx="1">
                  <c:v>Bilal</c:v>
                </c:pt>
                <c:pt idx="2">
                  <c:v>Sara</c:v>
                </c:pt>
                <c:pt idx="3">
                  <c:v>Zain</c:v>
                </c:pt>
              </c:strCache>
            </c:strRef>
          </c:cat>
          <c:val>
            <c:numRef>
              <c:f>Executive_Dashboard!$N$10:$N$14</c:f>
              <c:numCache>
                <c:formatCode>_-[$Rs-420]\ * #,##0_-;\-[$Rs-420]\ * #,##0_-;_-[$Rs-420]\ * "-"??_-;_-@_-</c:formatCode>
                <c:ptCount val="4"/>
                <c:pt idx="0">
                  <c:v>39500</c:v>
                </c:pt>
                <c:pt idx="1">
                  <c:v>29800</c:v>
                </c:pt>
                <c:pt idx="2">
                  <c:v>20600</c:v>
                </c:pt>
                <c:pt idx="3">
                  <c:v>35400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A-4AF6-B779-FDF261AF931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[Financial_Analysis_PROJECT.xlsx]Executive_Dashboard!PivotTable4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Executive_Dashboard!$N$18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Executive_Dashboard!$M$19:$M$23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Executive_Dashboard!$N$19:$N$23</c:f>
              <c:numCache>
                <c:formatCode>General</c:formatCode>
                <c:ptCount val="4"/>
                <c:pt idx="0">
                  <c:v>31000</c:v>
                </c:pt>
                <c:pt idx="1">
                  <c:v>55500</c:v>
                </c:pt>
                <c:pt idx="2">
                  <c:v>46500</c:v>
                </c:pt>
                <c:pt idx="3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9-451A-8C5D-3F19ACA25035}"/>
            </c:ext>
          </c:extLst>
        </c:ser>
        <c:ser>
          <c:idx val="1"/>
          <c:order val="1"/>
          <c:tx>
            <c:strRef>
              <c:f>Executive_Dashboard!$O$18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Executive_Dashboard!$M$19:$M$23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Executive_Dashboard!$O$19:$O$23</c:f>
              <c:numCache>
                <c:formatCode>General</c:formatCode>
                <c:ptCount val="4"/>
                <c:pt idx="0">
                  <c:v>20600</c:v>
                </c:pt>
                <c:pt idx="1">
                  <c:v>35400</c:v>
                </c:pt>
                <c:pt idx="2">
                  <c:v>29800</c:v>
                </c:pt>
                <c:pt idx="3">
                  <c:v>39500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9-451A-8C5D-3F19ACA25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15968"/>
        <c:axId val="70116928"/>
      </c:barChart>
      <c:catAx>
        <c:axId val="701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6928"/>
        <c:crosses val="autoZero"/>
        <c:auto val="1"/>
        <c:lblAlgn val="ctr"/>
        <c:lblOffset val="100"/>
        <c:noMultiLvlLbl val="0"/>
      </c:catAx>
      <c:valAx>
        <c:axId val="70116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1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144993</xdr:colOff>
      <xdr:row>1</xdr:row>
      <xdr:rowOff>12700</xdr:rowOff>
    </xdr:from>
    <xdr:to>
      <xdr:col>3</xdr:col>
      <xdr:colOff>0</xdr:colOff>
      <xdr:row>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FD94F91-1B07-F765-2EC6-5452D29FB017}"/>
            </a:ext>
          </a:extLst>
        </xdr:cNvPr>
        <xdr:cNvSpPr/>
      </xdr:nvSpPr>
      <xdr:spPr>
        <a:xfrm>
          <a:off x="144993" y="702129"/>
          <a:ext cx="2467578" cy="11303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Rs   204,500 </a:t>
          </a:r>
        </a:p>
        <a:p>
          <a:pPr algn="ctr"/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 Revenue</a:t>
          </a:r>
          <a:endParaRPr lang="en-US" sz="24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304121</xdr:colOff>
      <xdr:row>1</xdr:row>
      <xdr:rowOff>12700</xdr:rowOff>
    </xdr:from>
    <xdr:to>
      <xdr:col>6</xdr:col>
      <xdr:colOff>326571</xdr:colOff>
      <xdr:row>7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B0F790A-2156-AF3F-A48A-B2D72A46FDA1}"/>
            </a:ext>
          </a:extLst>
        </xdr:cNvPr>
        <xdr:cNvSpPr/>
      </xdr:nvSpPr>
      <xdr:spPr>
        <a:xfrm>
          <a:off x="2916692" y="702129"/>
          <a:ext cx="2489879" cy="11303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Rs   125,300   </a:t>
          </a:r>
        </a:p>
        <a:p>
          <a:pPr algn="ctr"/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 Expenses</a:t>
          </a:r>
          <a:endParaRPr lang="en-US" sz="24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5773</xdr:colOff>
      <xdr:row>1</xdr:row>
      <xdr:rowOff>10584</xdr:rowOff>
    </xdr:from>
    <xdr:to>
      <xdr:col>11</xdr:col>
      <xdr:colOff>15874</xdr:colOff>
      <xdr:row>7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EC71218-2767-0C12-CB72-E4CD9928CA31}"/>
            </a:ext>
          </a:extLst>
        </xdr:cNvPr>
        <xdr:cNvSpPr/>
      </xdr:nvSpPr>
      <xdr:spPr>
        <a:xfrm>
          <a:off x="4831773" y="697539"/>
          <a:ext cx="1978601" cy="114973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Rs   79,200    </a:t>
          </a:r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 Net</a:t>
          </a:r>
          <a:r>
            <a:rPr lang="en-US" sz="16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Profit</a:t>
          </a:r>
          <a:endParaRPr lang="en-US" sz="24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</xdr:colOff>
      <xdr:row>1</xdr:row>
      <xdr:rowOff>6350</xdr:rowOff>
    </xdr:from>
    <xdr:to>
      <xdr:col>14</xdr:col>
      <xdr:colOff>5294</xdr:colOff>
      <xdr:row>7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F80A419-DC4D-6B3E-3168-AC27EE86BB9B}"/>
            </a:ext>
          </a:extLst>
        </xdr:cNvPr>
        <xdr:cNvSpPr/>
      </xdr:nvSpPr>
      <xdr:spPr>
        <a:xfrm>
          <a:off x="6944592" y="693305"/>
          <a:ext cx="2060384" cy="115396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0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37%</a:t>
          </a:r>
          <a:r>
            <a:rPr lang="en-US" sz="4000">
              <a:solidFill>
                <a:sysClr val="windowText" lastClr="000000"/>
              </a:solidFill>
            </a:rPr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37%</a:t>
          </a:r>
          <a:r>
            <a:rPr lang="en-US" sz="4400"/>
            <a:t> </a:t>
          </a:r>
        </a:p>
        <a:p>
          <a:pPr algn="ctr"/>
          <a:r>
            <a:rPr lang="en-US" sz="1400">
              <a:solidFill>
                <a:sysClr val="windowText" lastClr="000000"/>
              </a:solidFill>
            </a:rPr>
            <a:t>Average</a:t>
          </a:r>
          <a:r>
            <a:rPr lang="en-US" sz="1400" baseline="0">
              <a:solidFill>
                <a:sysClr val="windowText" lastClr="000000"/>
              </a:solidFill>
            </a:rPr>
            <a:t> Profit Margin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191559</xdr:colOff>
      <xdr:row>1</xdr:row>
      <xdr:rowOff>15875</xdr:rowOff>
    </xdr:from>
    <xdr:to>
      <xdr:col>18</xdr:col>
      <xdr:colOff>31751</xdr:colOff>
      <xdr:row>6</xdr:row>
      <xdr:rowOff>223309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FFE40AD-35AE-F1B1-B391-BE875DC5DBB0}"/>
            </a:ext>
          </a:extLst>
        </xdr:cNvPr>
        <xdr:cNvSpPr/>
      </xdr:nvSpPr>
      <xdr:spPr>
        <a:xfrm>
          <a:off x="8816976" y="386292"/>
          <a:ext cx="2258483" cy="11334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2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Sales</a:t>
          </a:r>
        </a:p>
        <a:p>
          <a:pPr algn="ctr"/>
          <a:r>
            <a:rPr lang="en-US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Best Department</a:t>
          </a:r>
          <a:r>
            <a:rPr lang="en-US" sz="28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  <a:endParaRPr lang="en-US" sz="28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165101</xdr:colOff>
      <xdr:row>1</xdr:row>
      <xdr:rowOff>10582</xdr:rowOff>
    </xdr:from>
    <xdr:to>
      <xdr:col>22</xdr:col>
      <xdr:colOff>1</xdr:colOff>
      <xdr:row>6</xdr:row>
      <xdr:rowOff>230187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97EB985-7EF2-697E-54AC-E6BEE370E2FA}"/>
            </a:ext>
          </a:extLst>
        </xdr:cNvPr>
        <xdr:cNvSpPr/>
      </xdr:nvSpPr>
      <xdr:spPr>
        <a:xfrm>
          <a:off x="12452351" y="693207"/>
          <a:ext cx="1827213" cy="113241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2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April</a:t>
          </a:r>
        </a:p>
        <a:p>
          <a:pPr algn="ctr"/>
          <a:r>
            <a:rPr lang="en-US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Best Month</a:t>
          </a:r>
          <a:r>
            <a:rPr lang="en-US" sz="28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  <a:endParaRPr lang="en-US" sz="28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7328</xdr:colOff>
      <xdr:row>7</xdr:row>
      <xdr:rowOff>10747</xdr:rowOff>
    </xdr:from>
    <xdr:to>
      <xdr:col>7</xdr:col>
      <xdr:colOff>9070</xdr:colOff>
      <xdr:row>14</xdr:row>
      <xdr:rowOff>180730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BAD19-6D06-BD6C-3A34-5C0C1C91B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1002740</xdr:colOff>
      <xdr:row>23</xdr:row>
      <xdr:rowOff>1675</xdr:rowOff>
    </xdr:from>
    <xdr:to>
      <xdr:col>7</xdr:col>
      <xdr:colOff>126999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B4C498-B9E2-101B-AA1E-D2C12005F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10583</xdr:colOff>
      <xdr:row>6</xdr:row>
      <xdr:rowOff>231775</xdr:rowOff>
    </xdr:from>
    <xdr:to>
      <xdr:col>21</xdr:col>
      <xdr:colOff>603250</xdr:colOff>
      <xdr:row>16</xdr:row>
      <xdr:rowOff>21166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91C1B8-A2A9-834C-FA78-50BAF1A46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9073</xdr:colOff>
      <xdr:row>23</xdr:row>
      <xdr:rowOff>19629</xdr:rowOff>
    </xdr:from>
    <xdr:to>
      <xdr:col>17</xdr:col>
      <xdr:colOff>606138</xdr:colOff>
      <xdr:row>35</xdr:row>
      <xdr:rowOff>173183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157616-5EAB-4EF8-AEDD-1438DC490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BAS" refreshedDate="46173.25517488426" createdVersion="8" refreshedVersion="8" minRefreshableVersion="3" recordCount="16" xr:uid="{AA89051B-CBC0-43A7-BB09-1FE63141C4B2}">
  <cacheSource type="worksheet">
    <worksheetSource ref="A1:J17" sheet="Cleaned_Data"/>
  </cacheSource>
  <cacheFields count="10">
    <cacheField name="Month" numFmtId="0">
      <sharedItems count="4">
        <s v="January"/>
        <s v="February"/>
        <s v="March"/>
        <s v="April"/>
      </sharedItems>
    </cacheField>
    <cacheField name="Department" numFmtId="0">
      <sharedItems count="4">
        <s v="Sales"/>
        <s v="Marketing"/>
        <s v="IT"/>
        <s v="HR"/>
      </sharedItems>
    </cacheField>
    <cacheField name="Revenue" numFmtId="164">
      <sharedItems containsSemiMixedTypes="0" containsString="0" containsNumber="1" containsInteger="1" minValue="7000" maxValue="21000" count="16">
        <n v="15000"/>
        <n v="10000"/>
        <n v="12000"/>
        <n v="7000"/>
        <n v="17000"/>
        <n v="11000"/>
        <n v="13500"/>
        <n v="7500"/>
        <n v="18500"/>
        <n v="12500"/>
        <n v="14500"/>
        <n v="8000"/>
        <n v="21000"/>
        <n v="13000"/>
        <n v="15500"/>
        <n v="8500"/>
      </sharedItems>
    </cacheField>
    <cacheField name="Expenses" numFmtId="164">
      <sharedItems containsSemiMixedTypes="0" containsString="0" containsNumber="1" containsInteger="1" minValue="5000" maxValue="11000"/>
    </cacheField>
    <cacheField name="Employees" numFmtId="0">
      <sharedItems containsSemiMixedTypes="0" containsString="0" containsNumber="1" containsInteger="1" minValue="5" maxValue="12" count="4">
        <n v="12"/>
        <n v="8"/>
        <n v="10"/>
        <n v="5"/>
      </sharedItems>
    </cacheField>
    <cacheField name="Manager" numFmtId="0">
      <sharedItems count="4">
        <s v="Ahmed"/>
        <s v="Bilal"/>
        <s v="Zain"/>
        <s v="Sara"/>
      </sharedItems>
    </cacheField>
    <cacheField name="Profit" numFmtId="164">
      <sharedItems containsSemiMixedTypes="0" containsString="0" containsNumber="1" containsInteger="1" minValue="2000" maxValue="10000"/>
    </cacheField>
    <cacheField name="Profit Margin" numFmtId="2">
      <sharedItems containsSemiMixedTypes="0" containsString="0" containsNumber="1" minValue="0.2857142857142857" maxValue="0.47619047619047616"/>
    </cacheField>
    <cacheField name="Profit Margin %" numFmtId="9">
      <sharedItems containsSemiMixedTypes="0" containsString="0" containsNumber="1" minValue="0.2857142857142857" maxValue="0.47619047619047616"/>
    </cacheField>
    <cacheField name="Revenue Per Employee" numFmtId="164">
      <sharedItems containsSemiMixedTypes="0" containsString="0" containsNumber="1" minValue="1200" maxValue="1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9000"/>
    <x v="0"/>
    <x v="0"/>
    <n v="6000"/>
    <n v="0.4"/>
    <n v="0.4"/>
    <n v="1250"/>
  </r>
  <r>
    <x v="0"/>
    <x v="1"/>
    <x v="1"/>
    <n v="7000"/>
    <x v="1"/>
    <x v="1"/>
    <n v="3000"/>
    <n v="0.3"/>
    <n v="0.3"/>
    <n v="1250"/>
  </r>
  <r>
    <x v="0"/>
    <x v="2"/>
    <x v="2"/>
    <n v="8500"/>
    <x v="2"/>
    <x v="2"/>
    <n v="3500"/>
    <n v="0.29166666666666669"/>
    <n v="0.29166666666666669"/>
    <n v="1200"/>
  </r>
  <r>
    <x v="0"/>
    <x v="3"/>
    <x v="3"/>
    <n v="5000"/>
    <x v="3"/>
    <x v="3"/>
    <n v="2000"/>
    <n v="0.2857142857142857"/>
    <n v="0.2857142857142857"/>
    <n v="1400"/>
  </r>
  <r>
    <x v="1"/>
    <x v="0"/>
    <x v="4"/>
    <n v="9500"/>
    <x v="0"/>
    <x v="0"/>
    <n v="7500"/>
    <n v="0.44117647058823528"/>
    <n v="0.44117647058823528"/>
    <n v="1416.6666666666667"/>
  </r>
  <r>
    <x v="1"/>
    <x v="1"/>
    <x v="5"/>
    <n v="7200"/>
    <x v="1"/>
    <x v="1"/>
    <n v="3800"/>
    <n v="0.34545454545454546"/>
    <n v="0.34545454545454546"/>
    <n v="1375"/>
  </r>
  <r>
    <x v="1"/>
    <x v="2"/>
    <x v="6"/>
    <n v="8700"/>
    <x v="2"/>
    <x v="2"/>
    <n v="4800"/>
    <n v="0.35555555555555557"/>
    <n v="0.35555555555555557"/>
    <n v="1350"/>
  </r>
  <r>
    <x v="1"/>
    <x v="3"/>
    <x v="7"/>
    <n v="5100"/>
    <x v="3"/>
    <x v="3"/>
    <n v="2400"/>
    <n v="0.32"/>
    <n v="0.32"/>
    <n v="1500"/>
  </r>
  <r>
    <x v="2"/>
    <x v="0"/>
    <x v="8"/>
    <n v="10000"/>
    <x v="0"/>
    <x v="0"/>
    <n v="8500"/>
    <n v="0.45945945945945948"/>
    <n v="0.45945945945945948"/>
    <n v="1541.6666666666667"/>
  </r>
  <r>
    <x v="2"/>
    <x v="1"/>
    <x v="9"/>
    <n v="7600"/>
    <x v="1"/>
    <x v="1"/>
    <n v="4900"/>
    <n v="0.39200000000000002"/>
    <n v="0.39200000000000002"/>
    <n v="1562.5"/>
  </r>
  <r>
    <x v="2"/>
    <x v="2"/>
    <x v="10"/>
    <n v="9000"/>
    <x v="2"/>
    <x v="2"/>
    <n v="5500"/>
    <n v="0.37931034482758619"/>
    <n v="0.37931034482758619"/>
    <n v="1450"/>
  </r>
  <r>
    <x v="2"/>
    <x v="3"/>
    <x v="11"/>
    <n v="5200"/>
    <x v="3"/>
    <x v="3"/>
    <n v="2800"/>
    <n v="0.35"/>
    <n v="0.35"/>
    <n v="1600"/>
  </r>
  <r>
    <x v="3"/>
    <x v="0"/>
    <x v="12"/>
    <n v="11000"/>
    <x v="0"/>
    <x v="0"/>
    <n v="10000"/>
    <n v="0.47619047619047616"/>
    <n v="0.47619047619047616"/>
    <n v="1750"/>
  </r>
  <r>
    <x v="3"/>
    <x v="1"/>
    <x v="13"/>
    <n v="8000"/>
    <x v="1"/>
    <x v="1"/>
    <n v="5000"/>
    <n v="0.38461538461538464"/>
    <n v="0.38461538461538464"/>
    <n v="1625"/>
  </r>
  <r>
    <x v="3"/>
    <x v="2"/>
    <x v="14"/>
    <n v="9200"/>
    <x v="2"/>
    <x v="2"/>
    <n v="6300"/>
    <n v="0.40645161290322579"/>
    <n v="0.40645161290322579"/>
    <n v="1550"/>
  </r>
  <r>
    <x v="3"/>
    <x v="3"/>
    <x v="15"/>
    <n v="5300"/>
    <x v="3"/>
    <x v="3"/>
    <n v="3200"/>
    <n v="0.37647058823529411"/>
    <n v="0.37647058823529411"/>
    <n v="1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9E218-471C-4E87-ADD3-8086400A8DF7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7:H12" firstHeaderRow="1" firstDataRow="1" firstDataCol="1"/>
  <pivotFields count="10">
    <pivotField showAll="0"/>
    <pivotField axis="axisRow" showAll="0">
      <items count="5"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numFmtId="164" showAll="0"/>
    <pivotField dataField="1" numFmtId="2" showAll="0"/>
    <pivotField numFmtId="9" showAll="0"/>
    <pivotField numFmtId="16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 Margin" fld="7" baseField="0" baseItem="0" numFmtId="2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D8364-C600-4ED0-A586-EA56C2AC7AE1}" name="PivotTable2" cacheId="6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Department">
  <location ref="D3:E4" firstHeaderRow="1" firstDataRow="1" firstDataCol="1"/>
  <pivotFields count="10">
    <pivotField showAll="0"/>
    <pivotField axis="axisRow" showAll="0" measureFilter="1">
      <items count="5"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dataField="1" numFmtId="164" showAll="0"/>
    <pivotField numFmtId="2" showAll="0"/>
    <pivotField numFmtId="9" showAll="0"/>
    <pivotField numFmtId="164" showAll="0"/>
  </pivotFields>
  <rowFields count="1">
    <field x="1"/>
  </rowFields>
  <rowItems count="1">
    <i>
      <x v="3"/>
    </i>
  </rowItems>
  <colItems count="1">
    <i/>
  </colItems>
  <dataFields count="1">
    <dataField name="Total Profit" fld="6" baseField="0" baseItem="0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3A6E4-CF68-4376-B93A-7A2C21F4FC0A}" name="PivotTable1" cacheId="6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Department">
  <location ref="A3:B4" firstHeaderRow="1" firstDataRow="1" firstDataCol="1"/>
  <pivotFields count="10">
    <pivotField showAll="0"/>
    <pivotField axis="axisRow" showAll="0" measureFilter="1">
      <items count="5">
        <item x="3"/>
        <item x="2"/>
        <item x="1"/>
        <item x="0"/>
        <item t="default"/>
      </items>
    </pivotField>
    <pivotField dataField="1" numFmtId="164" showAll="0"/>
    <pivotField numFmtId="164" showAll="0"/>
    <pivotField showAll="0"/>
    <pivotField showAll="0"/>
    <pivotField numFmtId="164" showAll="0"/>
    <pivotField numFmtId="2" showAll="0"/>
    <pivotField numFmtId="9" showAll="0"/>
    <pivotField numFmtId="164" showAll="0"/>
  </pivotFields>
  <rowFields count="1">
    <field x="1"/>
  </rowFields>
  <rowItems count="1">
    <i>
      <x v="3"/>
    </i>
  </rowItems>
  <colItems count="1">
    <i/>
  </colItems>
  <dataFields count="1">
    <dataField name="Total Revenue" fld="2" baseField="0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12883-4A1D-4308-A014-7BB5C31AACB5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:E12" firstHeaderRow="1" firstDataRow="1" firstDataCol="1"/>
  <pivotFields count="10">
    <pivotField showAll="0"/>
    <pivotField axis="axisRow" showAll="0">
      <items count="5">
        <item x="3"/>
        <item x="2"/>
        <item x="1"/>
        <item x="0"/>
        <item t="default"/>
      </items>
    </pivotField>
    <pivotField numFmtId="164" showAll="0"/>
    <pivotField dataField="1" numFmtId="164" showAll="0"/>
    <pivotField showAll="0"/>
    <pivotField showAll="0"/>
    <pivotField numFmtId="164" showAll="0"/>
    <pivotField numFmtId="2" showAll="0"/>
    <pivotField numFmtId="9" showAll="0"/>
    <pivotField numFmtId="16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pens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EA34B-C8B9-4DB0-9628-76504F829645}" name="PivotTable4" cacheId="6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Manager">
  <location ref="A7:B8" firstHeaderRow="1" firstDataRow="1" firstDataCol="1"/>
  <pivotFields count="10">
    <pivotField showAll="0"/>
    <pivotField showAll="0"/>
    <pivotField numFmtId="164" showAll="0"/>
    <pivotField numFmtId="164" showAll="0"/>
    <pivotField showAll="0"/>
    <pivotField axis="axisRow" showAll="0" measureFilter="1">
      <items count="5">
        <item x="0"/>
        <item x="1"/>
        <item x="3"/>
        <item x="2"/>
        <item t="default"/>
      </items>
    </pivotField>
    <pivotField dataField="1" numFmtId="164" showAll="0"/>
    <pivotField numFmtId="2" showAll="0"/>
    <pivotField numFmtId="9" showAll="0"/>
    <pivotField numFmtId="164" showAll="0"/>
  </pivotFields>
  <rowFields count="1">
    <field x="5"/>
  </rowFields>
  <rowItems count="1">
    <i>
      <x/>
    </i>
  </rowItems>
  <colItems count="1">
    <i/>
  </colItems>
  <dataFields count="1">
    <dataField name="Total Profit" fld="6" baseField="0" baseItem="0" numFmtId="164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B92FC-B4C8-45C6-A0CA-A0D2DE0EBF13}" name="PivotTable3" cacheId="6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Month">
  <location ref="G3:I4" firstHeaderRow="0" firstDataRow="1" firstDataCol="1"/>
  <pivotFields count="10">
    <pivotField axis="axisRow" showAll="0" measureFilter="1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  <pivotField showAll="0"/>
    <pivotField showAll="0"/>
    <pivotField dataField="1" numFmtId="164" showAll="0"/>
    <pivotField numFmtId="2" showAll="0"/>
    <pivotField numFmtId="9" showAll="0"/>
    <pivotField numFmtId="164" showAll="0"/>
  </pivotFields>
  <rowFields count="1">
    <field x="0"/>
  </rowFields>
  <rowItems count="1">
    <i>
      <x v="3"/>
    </i>
  </rowItems>
  <colFields count="1">
    <field x="-2"/>
  </colFields>
  <colItems count="2">
    <i>
      <x/>
    </i>
    <i i="1">
      <x v="1"/>
    </i>
  </colItems>
  <dataFields count="2">
    <dataField name="Total Sales" fld="2" baseField="0" baseItem="0"/>
    <dataField name="Total Profit" fld="6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1C2A9-3680-46FC-983D-FDCBC56AC0A0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s">
  <location ref="M18:O23" firstHeaderRow="0" firstDataRow="1" firstDataCol="1"/>
  <pivotFields count="10">
    <pivotField showAll="0"/>
    <pivotField axis="axisRow" showAll="0">
      <items count="5">
        <item x="3"/>
        <item x="2"/>
        <item x="1"/>
        <item x="0"/>
        <item t="default"/>
      </items>
    </pivotField>
    <pivotField dataField="1" numFmtId="164" showAll="0">
      <items count="17">
        <item x="3"/>
        <item x="7"/>
        <item x="11"/>
        <item x="15"/>
        <item x="1"/>
        <item x="5"/>
        <item x="2"/>
        <item x="9"/>
        <item x="13"/>
        <item x="6"/>
        <item x="10"/>
        <item x="0"/>
        <item x="14"/>
        <item x="4"/>
        <item x="8"/>
        <item x="12"/>
        <item t="default"/>
      </items>
    </pivotField>
    <pivotField dataField="1" numFmtId="164" showAll="0"/>
    <pivotField showAll="0"/>
    <pivotField showAll="0"/>
    <pivotField numFmtId="164" showAll="0"/>
    <pivotField numFmtId="2" showAll="0"/>
    <pivotField numFmtId="9" showAll="0"/>
    <pivotField numFmtId="16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2" baseField="0" baseItem="0"/>
    <dataField name="Total Expens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36743-E06E-497F-B42A-122871472200}" name="PivotTable3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Distributors">
  <location ref="M9:N14" firstHeaderRow="1" firstDataRow="1" firstDataCol="1"/>
  <pivotFields count="10">
    <pivotField showAll="0"/>
    <pivotField showAll="0">
      <items count="5">
        <item x="3"/>
        <item x="2"/>
        <item x="1"/>
        <item x="0"/>
        <item t="default"/>
      </items>
    </pivotField>
    <pivotField numFmtId="164" showAll="0"/>
    <pivotField dataField="1" numFmtId="164" showAll="0"/>
    <pivotField showAll="0">
      <items count="5">
        <item x="3"/>
        <item x="1"/>
        <item x="2"/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numFmtId="164" showAll="0"/>
    <pivotField numFmtId="2" showAll="0"/>
    <pivotField numFmtId="9" showAll="0"/>
    <pivotField numFmtId="164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Expenses" fld="3" baseField="0" baseItem="0" numFmtId="164"/>
  </dataFields>
  <formats count="1"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8C9FE-1C65-4B46-8782-DC6B2933BE9E}" name="PivotTable2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Month">
  <location ref="C18:E23" firstHeaderRow="0" firstDataRow="1" firstDataCol="1"/>
  <pivotFields count="10">
    <pivotField axis="axisRow" showAll="0">
      <items count="5">
        <item x="0"/>
        <item x="1"/>
        <item x="2"/>
        <item x="3"/>
        <item t="default"/>
      </items>
    </pivotField>
    <pivotField showAll="0"/>
    <pivotField numFmtId="164" showAll="0"/>
    <pivotField numFmtId="164" showAll="0"/>
    <pivotField showAll="0"/>
    <pivotField showAll="0"/>
    <pivotField dataField="1" numFmtId="164" showAll="0"/>
    <pivotField numFmtId="2" showAll="0"/>
    <pivotField dataField="1" numFmtId="9"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6" baseField="0" baseItem="0" numFmtId="164"/>
    <dataField name="Profit Margin % " fld="8" showDataAs="percentOfTotal" baseField="0" baseItem="0" numFmtId="10"/>
  </dataFields>
  <formats count="2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B222E-56F6-465C-87AF-A9AB35A5E037}" name="PivotTable1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Department">
  <location ref="A9:B14" firstHeaderRow="1" firstDataRow="1" firstDataCol="1"/>
  <pivotFields count="10">
    <pivotField showAll="0"/>
    <pivotField axis="axisRow" showAll="0">
      <items count="5">
        <item x="3"/>
        <item x="2"/>
        <item x="1"/>
        <item x="0"/>
        <item t="default"/>
      </items>
    </pivotField>
    <pivotField dataField="1" numFmtId="164" showAll="0"/>
    <pivotField numFmtId="164" showAll="0"/>
    <pivotField showAll="0"/>
    <pivotField showAll="0"/>
    <pivotField numFmtId="164" showAll="0"/>
    <pivotField numFmtId="2" showAll="0"/>
    <pivotField numFmtId="9" showAll="0"/>
    <pivotField numFmtId="16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2" baseField="0" baseItem="0" numFmtId="164"/>
  </dataFields>
  <formats count="1">
    <format dxfId="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3500-7AE3-4044-A8B5-D1A8EF469388}">
  <dimension ref="A1:G17"/>
  <sheetViews>
    <sheetView zoomScale="150" zoomScaleNormal="150" workbookViewId="0">
      <selection activeCell="F7" sqref="F7"/>
    </sheetView>
  </sheetViews>
  <sheetFormatPr defaultRowHeight="14.5" x14ac:dyDescent="0.35"/>
  <cols>
    <col min="1" max="1" width="11" customWidth="1"/>
    <col min="2" max="2" width="11.6328125" customWidth="1"/>
    <col min="3" max="3" width="11.08984375" customWidth="1"/>
    <col min="4" max="4" width="11.90625" customWidth="1"/>
    <col min="5" max="5" width="11.1796875" customWidth="1"/>
    <col min="6" max="6" width="12.7265625" customWidth="1"/>
    <col min="7" max="7" width="6.26953125" customWidth="1"/>
    <col min="8" max="8" width="11.0898437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 x14ac:dyDescent="0.35">
      <c r="A2" s="1" t="s">
        <v>6</v>
      </c>
      <c r="B2" s="1" t="s">
        <v>7</v>
      </c>
      <c r="C2" s="1">
        <v>15000</v>
      </c>
      <c r="D2" s="1">
        <v>9000</v>
      </c>
      <c r="E2" s="1">
        <v>12</v>
      </c>
      <c r="F2" s="1" t="s">
        <v>8</v>
      </c>
    </row>
    <row r="3" spans="1:7" x14ac:dyDescent="0.35">
      <c r="A3" s="1" t="s">
        <v>6</v>
      </c>
      <c r="B3" s="1" t="s">
        <v>9</v>
      </c>
      <c r="C3" s="1">
        <v>10000</v>
      </c>
      <c r="D3" s="1">
        <v>7000</v>
      </c>
      <c r="E3" s="1">
        <v>8</v>
      </c>
      <c r="F3" s="1" t="s">
        <v>10</v>
      </c>
    </row>
    <row r="4" spans="1:7" x14ac:dyDescent="0.35">
      <c r="A4" s="1" t="s">
        <v>6</v>
      </c>
      <c r="B4" s="1" t="s">
        <v>11</v>
      </c>
      <c r="C4" s="1">
        <v>12000</v>
      </c>
      <c r="D4" s="1">
        <v>8500</v>
      </c>
      <c r="E4" s="1">
        <v>10</v>
      </c>
      <c r="F4" s="1" t="s">
        <v>12</v>
      </c>
    </row>
    <row r="5" spans="1:7" x14ac:dyDescent="0.35">
      <c r="A5" s="1" t="s">
        <v>6</v>
      </c>
      <c r="B5" s="1" t="s">
        <v>13</v>
      </c>
      <c r="C5" s="1">
        <v>7000</v>
      </c>
      <c r="D5" s="1">
        <v>5000</v>
      </c>
      <c r="E5" s="1">
        <v>5</v>
      </c>
      <c r="F5" s="1" t="s">
        <v>14</v>
      </c>
    </row>
    <row r="6" spans="1:7" x14ac:dyDescent="0.35">
      <c r="A6" s="1" t="s">
        <v>15</v>
      </c>
      <c r="B6" s="1" t="s">
        <v>7</v>
      </c>
      <c r="C6" s="1">
        <v>17000</v>
      </c>
      <c r="D6" s="1">
        <v>9500</v>
      </c>
      <c r="E6" s="1">
        <v>12</v>
      </c>
      <c r="F6" s="1" t="s">
        <v>8</v>
      </c>
    </row>
    <row r="7" spans="1:7" x14ac:dyDescent="0.35">
      <c r="A7" s="1" t="s">
        <v>15</v>
      </c>
      <c r="B7" s="1" t="s">
        <v>9</v>
      </c>
      <c r="C7" s="1">
        <v>11000</v>
      </c>
      <c r="D7" s="1">
        <v>7200</v>
      </c>
      <c r="E7" s="1">
        <v>8</v>
      </c>
      <c r="F7" s="1" t="s">
        <v>10</v>
      </c>
    </row>
    <row r="8" spans="1:7" x14ac:dyDescent="0.35">
      <c r="A8" s="1" t="s">
        <v>15</v>
      </c>
      <c r="B8" s="1" t="s">
        <v>11</v>
      </c>
      <c r="C8" s="1">
        <v>13500</v>
      </c>
      <c r="D8" s="1">
        <v>8700</v>
      </c>
      <c r="E8" s="1">
        <v>10</v>
      </c>
      <c r="F8" s="1" t="s">
        <v>12</v>
      </c>
    </row>
    <row r="9" spans="1:7" x14ac:dyDescent="0.35">
      <c r="A9" s="1" t="s">
        <v>15</v>
      </c>
      <c r="B9" s="1" t="s">
        <v>13</v>
      </c>
      <c r="C9" s="1">
        <v>7500</v>
      </c>
      <c r="D9" s="1">
        <v>5100</v>
      </c>
      <c r="E9" s="1">
        <v>5</v>
      </c>
      <c r="F9" s="1" t="s">
        <v>14</v>
      </c>
    </row>
    <row r="10" spans="1:7" x14ac:dyDescent="0.35">
      <c r="A10" s="1" t="s">
        <v>16</v>
      </c>
      <c r="B10" s="1" t="s">
        <v>7</v>
      </c>
      <c r="C10" s="1">
        <v>18500</v>
      </c>
      <c r="D10" s="1">
        <v>10000</v>
      </c>
      <c r="E10" s="1">
        <v>12</v>
      </c>
      <c r="F10" s="1" t="s">
        <v>8</v>
      </c>
    </row>
    <row r="11" spans="1:7" x14ac:dyDescent="0.35">
      <c r="A11" s="1" t="s">
        <v>16</v>
      </c>
      <c r="B11" s="1" t="s">
        <v>9</v>
      </c>
      <c r="C11" s="1">
        <v>12500</v>
      </c>
      <c r="D11" s="1">
        <v>7600</v>
      </c>
      <c r="E11" s="1">
        <v>8</v>
      </c>
      <c r="F11" s="1" t="s">
        <v>10</v>
      </c>
    </row>
    <row r="12" spans="1:7" x14ac:dyDescent="0.35">
      <c r="A12" s="1" t="s">
        <v>16</v>
      </c>
      <c r="B12" s="1" t="s">
        <v>11</v>
      </c>
      <c r="C12" s="1">
        <v>14500</v>
      </c>
      <c r="D12" s="1">
        <v>9000</v>
      </c>
      <c r="E12" s="1">
        <v>10</v>
      </c>
      <c r="F12" s="1" t="s">
        <v>12</v>
      </c>
    </row>
    <row r="13" spans="1:7" x14ac:dyDescent="0.35">
      <c r="A13" s="1" t="s">
        <v>16</v>
      </c>
      <c r="B13" s="1" t="s">
        <v>13</v>
      </c>
      <c r="C13" s="1">
        <v>8000</v>
      </c>
      <c r="D13" s="1">
        <v>5200</v>
      </c>
      <c r="E13" s="1">
        <v>5</v>
      </c>
      <c r="F13" s="1" t="s">
        <v>14</v>
      </c>
    </row>
    <row r="14" spans="1:7" x14ac:dyDescent="0.35">
      <c r="A14" s="1" t="s">
        <v>17</v>
      </c>
      <c r="B14" s="1" t="s">
        <v>7</v>
      </c>
      <c r="C14" s="1">
        <v>21000</v>
      </c>
      <c r="D14" s="1">
        <v>11000</v>
      </c>
      <c r="E14" s="1">
        <v>12</v>
      </c>
      <c r="F14" s="1" t="s">
        <v>8</v>
      </c>
    </row>
    <row r="15" spans="1:7" x14ac:dyDescent="0.35">
      <c r="A15" s="1" t="s">
        <v>17</v>
      </c>
      <c r="B15" s="1" t="s">
        <v>9</v>
      </c>
      <c r="C15" s="1">
        <v>13000</v>
      </c>
      <c r="D15" s="1">
        <v>8000</v>
      </c>
      <c r="E15" s="1">
        <v>8</v>
      </c>
      <c r="F15" s="1" t="s">
        <v>10</v>
      </c>
    </row>
    <row r="16" spans="1:7" x14ac:dyDescent="0.35">
      <c r="A16" s="1" t="s">
        <v>17</v>
      </c>
      <c r="B16" s="1" t="s">
        <v>11</v>
      </c>
      <c r="C16" s="1">
        <v>15500</v>
      </c>
      <c r="D16" s="1">
        <v>9200</v>
      </c>
      <c r="E16" s="1">
        <v>10</v>
      </c>
      <c r="F16" s="1" t="s">
        <v>12</v>
      </c>
    </row>
    <row r="17" spans="1:6" x14ac:dyDescent="0.35">
      <c r="A17" s="1" t="s">
        <v>17</v>
      </c>
      <c r="B17" s="1" t="s">
        <v>13</v>
      </c>
      <c r="C17" s="1">
        <v>8500</v>
      </c>
      <c r="D17" s="1">
        <v>5300</v>
      </c>
      <c r="E17" s="1">
        <v>5</v>
      </c>
      <c r="F17" s="1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1D2E-1214-4A99-BE99-948ECAC1BD87}">
  <dimension ref="A1:E17"/>
  <sheetViews>
    <sheetView zoomScale="130" zoomScaleNormal="130" workbookViewId="0">
      <selection activeCell="I6" sqref="I6"/>
    </sheetView>
  </sheetViews>
  <sheetFormatPr defaultRowHeight="14.5" x14ac:dyDescent="0.35"/>
  <cols>
    <col min="1" max="1" width="18" customWidth="1"/>
    <col min="2" max="2" width="10.26953125" bestFit="1" customWidth="1"/>
    <col min="3" max="3" width="2.54296875" customWidth="1"/>
    <col min="4" max="4" width="18.7265625" customWidth="1"/>
    <col min="7" max="7" width="9.26953125" customWidth="1"/>
  </cols>
  <sheetData>
    <row r="1" spans="1:5" x14ac:dyDescent="0.35">
      <c r="A1" s="7" t="s">
        <v>1</v>
      </c>
      <c r="B1" s="8" t="s">
        <v>18</v>
      </c>
      <c r="D1" s="7" t="s">
        <v>1</v>
      </c>
      <c r="E1" s="21"/>
    </row>
    <row r="2" spans="1:5" x14ac:dyDescent="0.35">
      <c r="A2" s="9" t="s">
        <v>7</v>
      </c>
      <c r="B2" s="11">
        <v>10000</v>
      </c>
      <c r="D2" s="9" t="s">
        <v>7</v>
      </c>
      <c r="E2" s="21">
        <f ca="1">SUMIF($A$1:$A$17,D2,$B$2:$B$17)</f>
        <v>27800</v>
      </c>
    </row>
    <row r="3" spans="1:5" x14ac:dyDescent="0.35">
      <c r="A3" s="9" t="s">
        <v>7</v>
      </c>
      <c r="B3" s="11">
        <v>8500</v>
      </c>
      <c r="D3" s="9" t="s">
        <v>11</v>
      </c>
      <c r="E3" s="21">
        <f ca="1">SUMIF($A$1:$A$17,D3,$B$2:$B$17)</f>
        <v>18000</v>
      </c>
    </row>
    <row r="4" spans="1:5" x14ac:dyDescent="0.35">
      <c r="A4" s="9" t="s">
        <v>7</v>
      </c>
      <c r="B4" s="11">
        <v>7500</v>
      </c>
      <c r="D4" s="9" t="s">
        <v>9</v>
      </c>
      <c r="E4" s="21">
        <f ca="1">SUMIF($A$1:$A$17,D4,$B$2:$B$17)</f>
        <v>16000</v>
      </c>
    </row>
    <row r="5" spans="1:5" x14ac:dyDescent="0.35">
      <c r="A5" s="9" t="s">
        <v>11</v>
      </c>
      <c r="B5" s="11">
        <v>6300</v>
      </c>
      <c r="D5" s="9" t="s">
        <v>13</v>
      </c>
      <c r="E5" s="21">
        <f ca="1">SUMIF($A$1:$A$17,D5,$B$2:$B$17)</f>
        <v>7400</v>
      </c>
    </row>
    <row r="6" spans="1:5" x14ac:dyDescent="0.35">
      <c r="A6" s="9" t="s">
        <v>7</v>
      </c>
      <c r="B6" s="11">
        <v>6000</v>
      </c>
    </row>
    <row r="7" spans="1:5" x14ac:dyDescent="0.35">
      <c r="A7" s="9" t="s">
        <v>11</v>
      </c>
      <c r="B7" s="11">
        <v>5500</v>
      </c>
    </row>
    <row r="8" spans="1:5" x14ac:dyDescent="0.35">
      <c r="A8" s="9" t="s">
        <v>9</v>
      </c>
      <c r="B8" s="11">
        <v>5000</v>
      </c>
    </row>
    <row r="9" spans="1:5" x14ac:dyDescent="0.35">
      <c r="A9" s="9" t="s">
        <v>9</v>
      </c>
      <c r="B9" s="11">
        <v>4900</v>
      </c>
    </row>
    <row r="10" spans="1:5" x14ac:dyDescent="0.35">
      <c r="A10" s="9" t="s">
        <v>11</v>
      </c>
      <c r="B10" s="11">
        <v>4800</v>
      </c>
    </row>
    <row r="11" spans="1:5" x14ac:dyDescent="0.35">
      <c r="A11" s="9" t="s">
        <v>9</v>
      </c>
      <c r="B11" s="11">
        <v>3800</v>
      </c>
    </row>
    <row r="12" spans="1:5" x14ac:dyDescent="0.35">
      <c r="A12" s="9" t="s">
        <v>11</v>
      </c>
      <c r="B12" s="11">
        <v>3500</v>
      </c>
    </row>
    <row r="13" spans="1:5" x14ac:dyDescent="0.35">
      <c r="A13" s="9" t="s">
        <v>13</v>
      </c>
      <c r="B13" s="11">
        <v>3200</v>
      </c>
    </row>
    <row r="14" spans="1:5" x14ac:dyDescent="0.35">
      <c r="A14" s="9" t="s">
        <v>9</v>
      </c>
      <c r="B14" s="11">
        <v>3000</v>
      </c>
    </row>
    <row r="15" spans="1:5" x14ac:dyDescent="0.35">
      <c r="A15" s="9" t="s">
        <v>13</v>
      </c>
      <c r="B15" s="11">
        <v>2800</v>
      </c>
    </row>
    <row r="16" spans="1:5" x14ac:dyDescent="0.35">
      <c r="A16" s="9" t="s">
        <v>13</v>
      </c>
      <c r="B16" s="11">
        <v>2400</v>
      </c>
    </row>
    <row r="17" spans="1:2" x14ac:dyDescent="0.35">
      <c r="A17" s="9" t="s">
        <v>13</v>
      </c>
      <c r="B17" s="11">
        <v>2000</v>
      </c>
    </row>
  </sheetData>
  <sortState xmlns:xlrd2="http://schemas.microsoft.com/office/spreadsheetml/2017/richdata2" ref="A2:B17">
    <sortCondition descending="1" ref="B2:B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CD74-2221-4415-8AA7-603712D6D539}">
  <dimension ref="A1:V20"/>
  <sheetViews>
    <sheetView zoomScale="130" zoomScaleNormal="130" workbookViewId="0">
      <selection activeCell="D9" sqref="A1:J17"/>
    </sheetView>
  </sheetViews>
  <sheetFormatPr defaultRowHeight="14.5" x14ac:dyDescent="0.35"/>
  <cols>
    <col min="1" max="1" width="7.90625" bestFit="1" customWidth="1"/>
    <col min="2" max="2" width="11.26953125" bestFit="1" customWidth="1"/>
    <col min="3" max="3" width="11.36328125" bestFit="1" customWidth="1"/>
    <col min="4" max="4" width="11.26953125" bestFit="1" customWidth="1"/>
    <col min="5" max="5" width="10.36328125" bestFit="1" customWidth="1"/>
    <col min="6" max="6" width="8.26953125" bestFit="1" customWidth="1"/>
    <col min="7" max="7" width="10.26953125" bestFit="1" customWidth="1"/>
    <col min="8" max="8" width="11.81640625" bestFit="1" customWidth="1"/>
    <col min="9" max="9" width="14" bestFit="1" customWidth="1"/>
    <col min="10" max="10" width="20.81640625" bestFit="1" customWidth="1"/>
    <col min="11" max="11" width="2.36328125" customWidth="1"/>
    <col min="12" max="12" width="11.26953125" bestFit="1" customWidth="1"/>
    <col min="13" max="13" width="15.90625" bestFit="1" customWidth="1"/>
    <col min="14" max="14" width="18.54296875" bestFit="1" customWidth="1"/>
    <col min="15" max="15" width="27.36328125" bestFit="1" customWidth="1"/>
    <col min="16" max="16" width="18.81640625" bestFit="1" customWidth="1"/>
    <col min="17" max="17" width="20.81640625" bestFit="1" customWidth="1"/>
    <col min="18" max="18" width="12.7265625" bestFit="1" customWidth="1"/>
    <col min="19" max="22" width="12" customWidth="1"/>
  </cols>
  <sheetData>
    <row r="1" spans="1:22" s="3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18</v>
      </c>
      <c r="H1" s="8" t="s">
        <v>35</v>
      </c>
      <c r="I1" s="8" t="s">
        <v>19</v>
      </c>
      <c r="J1" s="8" t="s">
        <v>20</v>
      </c>
      <c r="K1" s="4"/>
      <c r="L1" s="7" t="s">
        <v>1</v>
      </c>
      <c r="M1" s="8" t="s">
        <v>23</v>
      </c>
      <c r="N1" s="8" t="s">
        <v>30</v>
      </c>
      <c r="O1" s="8" t="s">
        <v>24</v>
      </c>
      <c r="P1" s="8" t="s">
        <v>31</v>
      </c>
      <c r="Q1" s="8" t="s">
        <v>20</v>
      </c>
      <c r="R1" s="4"/>
      <c r="T1" s="8"/>
      <c r="U1" s="8"/>
      <c r="V1" s="8"/>
    </row>
    <row r="2" spans="1:22" x14ac:dyDescent="0.35">
      <c r="A2" s="9" t="s">
        <v>6</v>
      </c>
      <c r="B2" s="9" t="s">
        <v>7</v>
      </c>
      <c r="C2" s="10">
        <v>15000</v>
      </c>
      <c r="D2" s="10">
        <v>9000</v>
      </c>
      <c r="E2" s="9">
        <v>12</v>
      </c>
      <c r="F2" s="9" t="s">
        <v>8</v>
      </c>
      <c r="G2" s="11">
        <v>6000</v>
      </c>
      <c r="H2" s="26">
        <f>G2/C2</f>
        <v>0.4</v>
      </c>
      <c r="I2" s="12">
        <f>(G2/C2)</f>
        <v>0.4</v>
      </c>
      <c r="J2" s="11">
        <f>C2/E2</f>
        <v>1250</v>
      </c>
      <c r="L2" s="9" t="s">
        <v>7</v>
      </c>
      <c r="M2" s="21">
        <f>SUMIF($B:$B,L2,$C:$C)</f>
        <v>71500</v>
      </c>
      <c r="N2" s="21">
        <f>SUMIF($B:$B,L2,$D:$D)</f>
        <v>39500</v>
      </c>
      <c r="O2" s="22">
        <f>M2-N2</f>
        <v>32000</v>
      </c>
      <c r="P2" s="23">
        <f>O2/M2</f>
        <v>0.44755244755244755</v>
      </c>
      <c r="Q2" s="24">
        <f>M2/E2</f>
        <v>5958.333333333333</v>
      </c>
    </row>
    <row r="3" spans="1:22" x14ac:dyDescent="0.35">
      <c r="A3" s="9" t="s">
        <v>6</v>
      </c>
      <c r="B3" s="9" t="s">
        <v>9</v>
      </c>
      <c r="C3" s="10">
        <v>10000</v>
      </c>
      <c r="D3" s="10">
        <v>7000</v>
      </c>
      <c r="E3" s="9">
        <v>8</v>
      </c>
      <c r="F3" s="9" t="s">
        <v>10</v>
      </c>
      <c r="G3" s="11">
        <v>3000</v>
      </c>
      <c r="H3" s="26">
        <f t="shared" ref="H3:H17" si="0">G3/C3</f>
        <v>0.3</v>
      </c>
      <c r="I3" s="12">
        <f t="shared" ref="I3:I17" si="1">(G3/C3)</f>
        <v>0.3</v>
      </c>
      <c r="J3" s="11">
        <f t="shared" ref="J3:J17" si="2">C3/E3</f>
        <v>1250</v>
      </c>
      <c r="L3" s="9" t="s">
        <v>9</v>
      </c>
      <c r="M3" s="21">
        <f t="shared" ref="M3:M5" si="3">SUMIF($B:$B,L3,$C:$C)</f>
        <v>46500</v>
      </c>
      <c r="N3" s="21">
        <f t="shared" ref="N3:N5" si="4">SUMIF($B:$B,L3,$D:$D)</f>
        <v>29800</v>
      </c>
      <c r="O3" s="22">
        <f t="shared" ref="O3:O5" si="5">M3-N3</f>
        <v>16700</v>
      </c>
      <c r="P3" s="23">
        <f t="shared" ref="P3:P5" si="6">O3/M3</f>
        <v>0.35913978494623655</v>
      </c>
      <c r="Q3" s="24">
        <f t="shared" ref="Q3:Q5" si="7">M3/E3</f>
        <v>5812.5</v>
      </c>
    </row>
    <row r="4" spans="1:22" x14ac:dyDescent="0.35">
      <c r="A4" s="9" t="s">
        <v>6</v>
      </c>
      <c r="B4" s="9" t="s">
        <v>11</v>
      </c>
      <c r="C4" s="10">
        <v>12000</v>
      </c>
      <c r="D4" s="10">
        <v>8500</v>
      </c>
      <c r="E4" s="9">
        <v>10</v>
      </c>
      <c r="F4" s="9" t="s">
        <v>12</v>
      </c>
      <c r="G4" s="11">
        <v>3500</v>
      </c>
      <c r="H4" s="26">
        <f t="shared" si="0"/>
        <v>0.29166666666666669</v>
      </c>
      <c r="I4" s="12">
        <f t="shared" si="1"/>
        <v>0.29166666666666669</v>
      </c>
      <c r="J4" s="11">
        <f t="shared" si="2"/>
        <v>1200</v>
      </c>
      <c r="L4" s="9" t="s">
        <v>11</v>
      </c>
      <c r="M4" s="21">
        <f t="shared" si="3"/>
        <v>55500</v>
      </c>
      <c r="N4" s="21">
        <f t="shared" si="4"/>
        <v>35400</v>
      </c>
      <c r="O4" s="22">
        <f t="shared" si="5"/>
        <v>20100</v>
      </c>
      <c r="P4" s="23">
        <f t="shared" si="6"/>
        <v>0.36216216216216218</v>
      </c>
      <c r="Q4" s="24">
        <f t="shared" si="7"/>
        <v>5550</v>
      </c>
    </row>
    <row r="5" spans="1:22" x14ac:dyDescent="0.35">
      <c r="A5" s="9" t="s">
        <v>6</v>
      </c>
      <c r="B5" s="9" t="s">
        <v>13</v>
      </c>
      <c r="C5" s="10">
        <v>7000</v>
      </c>
      <c r="D5" s="10">
        <v>5000</v>
      </c>
      <c r="E5" s="9">
        <v>5</v>
      </c>
      <c r="F5" s="9" t="s">
        <v>14</v>
      </c>
      <c r="G5" s="11">
        <v>2000</v>
      </c>
      <c r="H5" s="26">
        <f t="shared" si="0"/>
        <v>0.2857142857142857</v>
      </c>
      <c r="I5" s="12">
        <f t="shared" si="1"/>
        <v>0.2857142857142857</v>
      </c>
      <c r="J5" s="11">
        <f t="shared" si="2"/>
        <v>1400</v>
      </c>
      <c r="L5" s="9" t="s">
        <v>13</v>
      </c>
      <c r="M5" s="21">
        <f t="shared" si="3"/>
        <v>31000</v>
      </c>
      <c r="N5" s="21">
        <f t="shared" si="4"/>
        <v>20600</v>
      </c>
      <c r="O5" s="22">
        <f t="shared" si="5"/>
        <v>10400</v>
      </c>
      <c r="P5" s="23">
        <f t="shared" si="6"/>
        <v>0.33548387096774196</v>
      </c>
      <c r="Q5" s="24">
        <f t="shared" si="7"/>
        <v>6200</v>
      </c>
    </row>
    <row r="6" spans="1:22" x14ac:dyDescent="0.35">
      <c r="A6" s="9" t="s">
        <v>15</v>
      </c>
      <c r="B6" s="9" t="s">
        <v>7</v>
      </c>
      <c r="C6" s="10">
        <v>17000</v>
      </c>
      <c r="D6" s="10">
        <v>9500</v>
      </c>
      <c r="E6" s="9">
        <v>12</v>
      </c>
      <c r="F6" s="9" t="s">
        <v>8</v>
      </c>
      <c r="G6" s="11">
        <v>7500</v>
      </c>
      <c r="H6" s="26">
        <f t="shared" si="0"/>
        <v>0.44117647058823528</v>
      </c>
      <c r="I6" s="12">
        <f t="shared" si="1"/>
        <v>0.44117647058823528</v>
      </c>
      <c r="J6" s="11">
        <f t="shared" si="2"/>
        <v>1416.6666666666667</v>
      </c>
    </row>
    <row r="7" spans="1:22" x14ac:dyDescent="0.35">
      <c r="A7" s="9" t="s">
        <v>15</v>
      </c>
      <c r="B7" s="9" t="s">
        <v>9</v>
      </c>
      <c r="C7" s="10">
        <v>11000</v>
      </c>
      <c r="D7" s="10">
        <v>7200</v>
      </c>
      <c r="E7" s="9">
        <v>8</v>
      </c>
      <c r="F7" s="9" t="s">
        <v>10</v>
      </c>
      <c r="G7" s="11">
        <v>3800</v>
      </c>
      <c r="H7" s="26">
        <f t="shared" si="0"/>
        <v>0.34545454545454546</v>
      </c>
      <c r="I7" s="12">
        <f t="shared" si="1"/>
        <v>0.34545454545454546</v>
      </c>
      <c r="J7" s="11">
        <f t="shared" si="2"/>
        <v>1375</v>
      </c>
    </row>
    <row r="8" spans="1:22" x14ac:dyDescent="0.35">
      <c r="A8" s="9" t="s">
        <v>15</v>
      </c>
      <c r="B8" s="9" t="s">
        <v>11</v>
      </c>
      <c r="C8" s="10">
        <v>13500</v>
      </c>
      <c r="D8" s="10">
        <v>8700</v>
      </c>
      <c r="E8" s="9">
        <v>10</v>
      </c>
      <c r="F8" s="9" t="s">
        <v>12</v>
      </c>
      <c r="G8" s="11">
        <v>4800</v>
      </c>
      <c r="H8" s="26">
        <f t="shared" si="0"/>
        <v>0.35555555555555557</v>
      </c>
      <c r="I8" s="12">
        <f t="shared" si="1"/>
        <v>0.35555555555555557</v>
      </c>
      <c r="J8" s="11">
        <f t="shared" si="2"/>
        <v>1350</v>
      </c>
      <c r="L8" s="7" t="s">
        <v>1</v>
      </c>
      <c r="M8" s="25" t="s">
        <v>32</v>
      </c>
      <c r="N8" s="25" t="s">
        <v>33</v>
      </c>
      <c r="O8" s="25" t="s">
        <v>34</v>
      </c>
      <c r="P8" s="27" t="s">
        <v>27</v>
      </c>
      <c r="Q8" s="27" t="s">
        <v>28</v>
      </c>
      <c r="R8" s="27" t="s">
        <v>29</v>
      </c>
      <c r="S8" s="27" t="s">
        <v>37</v>
      </c>
    </row>
    <row r="9" spans="1:22" x14ac:dyDescent="0.35">
      <c r="A9" s="9" t="s">
        <v>15</v>
      </c>
      <c r="B9" s="9" t="s">
        <v>13</v>
      </c>
      <c r="C9" s="10">
        <v>7500</v>
      </c>
      <c r="D9" s="10">
        <v>5100</v>
      </c>
      <c r="E9" s="9">
        <v>5</v>
      </c>
      <c r="F9" s="9" t="s">
        <v>14</v>
      </c>
      <c r="G9" s="11">
        <v>2400</v>
      </c>
      <c r="H9" s="26">
        <f t="shared" si="0"/>
        <v>0.32</v>
      </c>
      <c r="I9" s="12">
        <f t="shared" si="1"/>
        <v>0.32</v>
      </c>
      <c r="J9" s="11">
        <f t="shared" si="2"/>
        <v>1500</v>
      </c>
      <c r="L9" s="9" t="s">
        <v>7</v>
      </c>
      <c r="M9" s="21">
        <f>AVERAGEIF($B:$B,B2,$D:$D)</f>
        <v>9875</v>
      </c>
      <c r="N9" s="21">
        <f>AVERAGEIF($B:$B,B2,$I:$I)</f>
        <v>0.44420660155954272</v>
      </c>
      <c r="O9" s="21">
        <f>AVERAGEIF($B:$B,B2,$J:$J)</f>
        <v>1489.5833333333335</v>
      </c>
      <c r="P9" s="21">
        <f>_xlfn.RANK.EQ(M9,$M$9:$M$12,0)</f>
        <v>1</v>
      </c>
      <c r="Q9" s="21">
        <f>_xlfn.RANK.EQ(N9,$N$9:$N$12,1)</f>
        <v>4</v>
      </c>
      <c r="R9" s="21">
        <f>_xlfn.RANK.EQ(O9,$O$9:$O$12,1)</f>
        <v>3</v>
      </c>
      <c r="S9" s="21">
        <f>SUM(P9:R9)</f>
        <v>8</v>
      </c>
    </row>
    <row r="10" spans="1:22" x14ac:dyDescent="0.35">
      <c r="A10" s="9" t="s">
        <v>16</v>
      </c>
      <c r="B10" s="9" t="s">
        <v>7</v>
      </c>
      <c r="C10" s="10">
        <v>18500</v>
      </c>
      <c r="D10" s="10">
        <v>10000</v>
      </c>
      <c r="E10" s="9">
        <v>12</v>
      </c>
      <c r="F10" s="9" t="s">
        <v>8</v>
      </c>
      <c r="G10" s="11">
        <v>8500</v>
      </c>
      <c r="H10" s="26">
        <f t="shared" si="0"/>
        <v>0.45945945945945948</v>
      </c>
      <c r="I10" s="12">
        <f t="shared" si="1"/>
        <v>0.45945945945945948</v>
      </c>
      <c r="J10" s="11">
        <f t="shared" si="2"/>
        <v>1541.6666666666667</v>
      </c>
      <c r="L10" s="9" t="s">
        <v>9</v>
      </c>
      <c r="M10" s="21">
        <f t="shared" ref="M10:M12" si="8">AVERAGEIF($B:$B,B3,$D:$D)</f>
        <v>7450</v>
      </c>
      <c r="N10" s="21">
        <f t="shared" ref="N10:N12" si="9">AVERAGEIF($B:$B,B3,$I:$I)</f>
        <v>0.3555174825174825</v>
      </c>
      <c r="O10" s="21">
        <f t="shared" ref="O10:O12" si="10">AVERAGEIF($B:$B,B3,$J:$J)</f>
        <v>1453.125</v>
      </c>
      <c r="P10" s="21">
        <f t="shared" ref="P10:P12" si="11">_xlfn.RANK.EQ(M10,$M$9:$M$12,0)</f>
        <v>3</v>
      </c>
      <c r="Q10" s="21">
        <f t="shared" ref="Q10:Q12" si="12">_xlfn.RANK.EQ(N10,$N$9:$N$12,1)</f>
        <v>2</v>
      </c>
      <c r="R10" s="21">
        <f t="shared" ref="R10:R12" si="13">_xlfn.RANK.EQ(O10,$O$9:$O$12,1)</f>
        <v>2</v>
      </c>
      <c r="S10" s="21">
        <f t="shared" ref="S10:S12" si="14">SUM(P10:R10)</f>
        <v>7</v>
      </c>
    </row>
    <row r="11" spans="1:22" x14ac:dyDescent="0.35">
      <c r="A11" s="9" t="s">
        <v>16</v>
      </c>
      <c r="B11" s="9" t="s">
        <v>9</v>
      </c>
      <c r="C11" s="10">
        <v>12500</v>
      </c>
      <c r="D11" s="10">
        <v>7600</v>
      </c>
      <c r="E11" s="9">
        <v>8</v>
      </c>
      <c r="F11" s="9" t="s">
        <v>10</v>
      </c>
      <c r="G11" s="11">
        <v>4900</v>
      </c>
      <c r="H11" s="26">
        <f t="shared" si="0"/>
        <v>0.39200000000000002</v>
      </c>
      <c r="I11" s="12">
        <f t="shared" si="1"/>
        <v>0.39200000000000002</v>
      </c>
      <c r="J11" s="11">
        <f t="shared" si="2"/>
        <v>1562.5</v>
      </c>
      <c r="L11" s="9" t="s">
        <v>11</v>
      </c>
      <c r="M11" s="21">
        <f t="shared" si="8"/>
        <v>8850</v>
      </c>
      <c r="N11" s="21">
        <f t="shared" si="9"/>
        <v>0.35824604498825857</v>
      </c>
      <c r="O11" s="21">
        <f t="shared" si="10"/>
        <v>1387.5</v>
      </c>
      <c r="P11" s="21">
        <f t="shared" si="11"/>
        <v>2</v>
      </c>
      <c r="Q11" s="21">
        <f t="shared" si="12"/>
        <v>3</v>
      </c>
      <c r="R11" s="21">
        <f t="shared" si="13"/>
        <v>1</v>
      </c>
      <c r="S11" s="21">
        <f t="shared" si="14"/>
        <v>6</v>
      </c>
    </row>
    <row r="12" spans="1:22" x14ac:dyDescent="0.35">
      <c r="A12" s="9" t="s">
        <v>16</v>
      </c>
      <c r="B12" s="9" t="s">
        <v>11</v>
      </c>
      <c r="C12" s="10">
        <v>14500</v>
      </c>
      <c r="D12" s="10">
        <v>9000</v>
      </c>
      <c r="E12" s="9">
        <v>10</v>
      </c>
      <c r="F12" s="9" t="s">
        <v>12</v>
      </c>
      <c r="G12" s="11">
        <v>5500</v>
      </c>
      <c r="H12" s="26">
        <f t="shared" si="0"/>
        <v>0.37931034482758619</v>
      </c>
      <c r="I12" s="12">
        <f t="shared" si="1"/>
        <v>0.37931034482758619</v>
      </c>
      <c r="J12" s="11">
        <f t="shared" si="2"/>
        <v>1450</v>
      </c>
      <c r="L12" s="9" t="s">
        <v>13</v>
      </c>
      <c r="M12" s="21">
        <f t="shared" si="8"/>
        <v>5150</v>
      </c>
      <c r="N12" s="21">
        <f t="shared" si="9"/>
        <v>0.33304621848739491</v>
      </c>
      <c r="O12" s="21">
        <f t="shared" si="10"/>
        <v>1550</v>
      </c>
      <c r="P12" s="21">
        <f t="shared" si="11"/>
        <v>4</v>
      </c>
      <c r="Q12" s="21">
        <f t="shared" si="12"/>
        <v>1</v>
      </c>
      <c r="R12" s="21">
        <f t="shared" si="13"/>
        <v>4</v>
      </c>
      <c r="S12" s="21">
        <f t="shared" si="14"/>
        <v>9</v>
      </c>
    </row>
    <row r="13" spans="1:22" x14ac:dyDescent="0.35">
      <c r="A13" s="9" t="s">
        <v>16</v>
      </c>
      <c r="B13" s="9" t="s">
        <v>13</v>
      </c>
      <c r="C13" s="10">
        <v>8000</v>
      </c>
      <c r="D13" s="10">
        <v>5200</v>
      </c>
      <c r="E13" s="9">
        <v>5</v>
      </c>
      <c r="F13" s="9" t="s">
        <v>14</v>
      </c>
      <c r="G13" s="11">
        <v>2800</v>
      </c>
      <c r="H13" s="26">
        <f t="shared" si="0"/>
        <v>0.35</v>
      </c>
      <c r="I13" s="12">
        <f t="shared" si="1"/>
        <v>0.35</v>
      </c>
      <c r="J13" s="11">
        <f t="shared" si="2"/>
        <v>1600</v>
      </c>
    </row>
    <row r="14" spans="1:22" x14ac:dyDescent="0.35">
      <c r="A14" s="9" t="s">
        <v>17</v>
      </c>
      <c r="B14" s="9" t="s">
        <v>7</v>
      </c>
      <c r="C14" s="10">
        <v>21000</v>
      </c>
      <c r="D14" s="10">
        <v>11000</v>
      </c>
      <c r="E14" s="9">
        <v>12</v>
      </c>
      <c r="F14" s="9" t="s">
        <v>8</v>
      </c>
      <c r="G14" s="11">
        <v>10000</v>
      </c>
      <c r="H14" s="26">
        <f t="shared" si="0"/>
        <v>0.47619047619047616</v>
      </c>
      <c r="I14" s="12">
        <f t="shared" si="1"/>
        <v>0.47619047619047616</v>
      </c>
      <c r="J14" s="11">
        <f t="shared" si="2"/>
        <v>1750</v>
      </c>
    </row>
    <row r="15" spans="1:22" x14ac:dyDescent="0.35">
      <c r="A15" s="9" t="s">
        <v>17</v>
      </c>
      <c r="B15" s="9" t="s">
        <v>9</v>
      </c>
      <c r="C15" s="10">
        <v>13000</v>
      </c>
      <c r="D15" s="10">
        <v>8000</v>
      </c>
      <c r="E15" s="9">
        <v>8</v>
      </c>
      <c r="F15" s="9" t="s">
        <v>10</v>
      </c>
      <c r="G15" s="11">
        <v>5000</v>
      </c>
      <c r="H15" s="26">
        <f t="shared" si="0"/>
        <v>0.38461538461538464</v>
      </c>
      <c r="I15" s="12">
        <f t="shared" si="1"/>
        <v>0.38461538461538464</v>
      </c>
      <c r="J15" s="11">
        <f t="shared" si="2"/>
        <v>1625</v>
      </c>
      <c r="L15" s="7" t="s">
        <v>0</v>
      </c>
      <c r="M15" s="29" t="s">
        <v>38</v>
      </c>
    </row>
    <row r="16" spans="1:22" x14ac:dyDescent="0.35">
      <c r="A16" s="9" t="s">
        <v>17</v>
      </c>
      <c r="B16" s="9" t="s">
        <v>11</v>
      </c>
      <c r="C16" s="10">
        <v>15500</v>
      </c>
      <c r="D16" s="10">
        <v>9200</v>
      </c>
      <c r="E16" s="9">
        <v>10</v>
      </c>
      <c r="F16" s="9" t="s">
        <v>12</v>
      </c>
      <c r="G16" s="11">
        <v>6300</v>
      </c>
      <c r="H16" s="26">
        <f t="shared" si="0"/>
        <v>0.40645161290322579</v>
      </c>
      <c r="I16" s="12">
        <f t="shared" si="1"/>
        <v>0.40645161290322579</v>
      </c>
      <c r="J16" s="11">
        <f t="shared" si="2"/>
        <v>1550</v>
      </c>
      <c r="L16" s="9" t="s">
        <v>17</v>
      </c>
      <c r="M16" s="21">
        <f>SUMIF($A:$A,L16,$C:$C)</f>
        <v>58000</v>
      </c>
    </row>
    <row r="17" spans="1:13" x14ac:dyDescent="0.35">
      <c r="A17" s="9" t="s">
        <v>17</v>
      </c>
      <c r="B17" s="9" t="s">
        <v>13</v>
      </c>
      <c r="C17" s="10">
        <v>8500</v>
      </c>
      <c r="D17" s="10">
        <v>5300</v>
      </c>
      <c r="E17" s="9">
        <v>5</v>
      </c>
      <c r="F17" s="9" t="s">
        <v>14</v>
      </c>
      <c r="G17" s="11">
        <v>3200</v>
      </c>
      <c r="H17" s="26">
        <f t="shared" si="0"/>
        <v>0.37647058823529411</v>
      </c>
      <c r="I17" s="12">
        <f t="shared" si="1"/>
        <v>0.37647058823529411</v>
      </c>
      <c r="J17" s="11">
        <f t="shared" si="2"/>
        <v>1700</v>
      </c>
      <c r="L17" s="9" t="s">
        <v>16</v>
      </c>
      <c r="M17" s="21">
        <f>SUMIF($A:$A,L17,$C:$C)</f>
        <v>53500</v>
      </c>
    </row>
    <row r="18" spans="1:13" x14ac:dyDescent="0.35">
      <c r="L18" s="9" t="s">
        <v>15</v>
      </c>
      <c r="M18" s="21">
        <f>SUMIF($A:$A,L18,$C:$C)</f>
        <v>49000</v>
      </c>
    </row>
    <row r="19" spans="1:13" x14ac:dyDescent="0.35">
      <c r="L19" s="9" t="s">
        <v>6</v>
      </c>
      <c r="M19" s="21">
        <f>SUMIF($A:$A,L19,$C:$C)</f>
        <v>44000</v>
      </c>
    </row>
    <row r="20" spans="1:13" x14ac:dyDescent="0.35">
      <c r="C20" s="17">
        <f>SUM(C2:C17)</f>
        <v>204500</v>
      </c>
      <c r="D20" s="17">
        <f>SUM(D2:D17)</f>
        <v>125300</v>
      </c>
      <c r="E20" s="16">
        <f>SUM(E2:E17)</f>
        <v>140</v>
      </c>
      <c r="G20" s="17">
        <f>SUM(G2:G17)</f>
        <v>79200</v>
      </c>
      <c r="H20" s="17"/>
      <c r="I20" s="28">
        <f>AVERAGE(I2:I17)</f>
        <v>0.37275408688816969</v>
      </c>
    </row>
  </sheetData>
  <sortState xmlns:xlrd2="http://schemas.microsoft.com/office/spreadsheetml/2017/richdata2" ref="L16:M19">
    <sortCondition descending="1" ref="M16:M19"/>
  </sortState>
  <conditionalFormatting sqref="L8:S12">
    <cfRule type="expression" dxfId="0" priority="1">
      <formula>$S8=6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B0A8-5061-4E6D-8233-ABF071264E09}">
  <dimension ref="A1:N12"/>
  <sheetViews>
    <sheetView zoomScale="130" zoomScaleNormal="130" workbookViewId="0">
      <selection activeCell="E14" sqref="E14"/>
    </sheetView>
  </sheetViews>
  <sheetFormatPr defaultRowHeight="14.5" x14ac:dyDescent="0.35"/>
  <cols>
    <col min="1" max="1" width="13.36328125" customWidth="1"/>
    <col min="2" max="2" width="12.6328125" bestFit="1" customWidth="1"/>
    <col min="3" max="3" width="1.90625" customWidth="1"/>
    <col min="4" max="4" width="12.453125" bestFit="1" customWidth="1"/>
    <col min="5" max="5" width="15" bestFit="1" customWidth="1"/>
    <col min="6" max="6" width="1.81640625" customWidth="1"/>
    <col min="7" max="7" width="12.453125" bestFit="1" customWidth="1"/>
    <col min="8" max="8" width="17.7265625" bestFit="1" customWidth="1"/>
    <col min="9" max="9" width="12.90625" bestFit="1" customWidth="1"/>
    <col min="10" max="10" width="12.453125" bestFit="1" customWidth="1"/>
    <col min="11" max="11" width="11.26953125" bestFit="1" customWidth="1"/>
    <col min="12" max="12" width="12.08984375" bestFit="1" customWidth="1"/>
    <col min="13" max="13" width="14.7265625" bestFit="1" customWidth="1"/>
    <col min="14" max="14" width="23.453125" bestFit="1" customWidth="1"/>
  </cols>
  <sheetData>
    <row r="1" spans="1:14" x14ac:dyDescent="0.35">
      <c r="K1" s="18"/>
      <c r="L1" s="16"/>
      <c r="M1" s="16"/>
      <c r="N1" s="16"/>
    </row>
    <row r="2" spans="1:14" x14ac:dyDescent="0.35">
      <c r="K2" s="19"/>
    </row>
    <row r="3" spans="1:14" x14ac:dyDescent="0.35">
      <c r="A3" s="13" t="s">
        <v>1</v>
      </c>
      <c r="B3" t="s">
        <v>23</v>
      </c>
      <c r="D3" s="13" t="s">
        <v>1</v>
      </c>
      <c r="E3" t="s">
        <v>24</v>
      </c>
      <c r="G3" s="13" t="s">
        <v>0</v>
      </c>
      <c r="H3" t="s">
        <v>25</v>
      </c>
      <c r="I3" t="s">
        <v>24</v>
      </c>
      <c r="K3" s="19"/>
    </row>
    <row r="4" spans="1:14" x14ac:dyDescent="0.35">
      <c r="A4" s="14" t="s">
        <v>7</v>
      </c>
      <c r="B4" s="6">
        <v>71500</v>
      </c>
      <c r="D4" s="14" t="s">
        <v>7</v>
      </c>
      <c r="E4" s="6">
        <v>32000</v>
      </c>
      <c r="G4" s="14" t="s">
        <v>17</v>
      </c>
      <c r="H4" s="6">
        <v>58000</v>
      </c>
      <c r="I4" s="6">
        <v>24500</v>
      </c>
      <c r="K4" s="19"/>
    </row>
    <row r="5" spans="1:14" x14ac:dyDescent="0.35">
      <c r="K5" s="19"/>
    </row>
    <row r="6" spans="1:14" x14ac:dyDescent="0.35">
      <c r="K6" s="20"/>
    </row>
    <row r="7" spans="1:14" x14ac:dyDescent="0.35">
      <c r="A7" s="13" t="s">
        <v>5</v>
      </c>
      <c r="B7" t="s">
        <v>24</v>
      </c>
      <c r="D7" s="13" t="s">
        <v>21</v>
      </c>
      <c r="E7" t="s">
        <v>26</v>
      </c>
      <c r="G7" s="13" t="s">
        <v>21</v>
      </c>
      <c r="H7" t="s">
        <v>36</v>
      </c>
      <c r="K7" s="20"/>
    </row>
    <row r="8" spans="1:14" x14ac:dyDescent="0.35">
      <c r="A8" s="14" t="s">
        <v>8</v>
      </c>
      <c r="B8" s="6">
        <v>32000</v>
      </c>
      <c r="D8" s="14" t="s">
        <v>13</v>
      </c>
      <c r="E8" s="5">
        <v>20600</v>
      </c>
      <c r="G8" s="14" t="s">
        <v>13</v>
      </c>
      <c r="H8" s="15">
        <v>1.3321848739495796</v>
      </c>
      <c r="K8" s="20"/>
    </row>
    <row r="9" spans="1:14" x14ac:dyDescent="0.35">
      <c r="D9" s="14" t="s">
        <v>11</v>
      </c>
      <c r="E9" s="5">
        <v>35400</v>
      </c>
      <c r="G9" s="14" t="s">
        <v>11</v>
      </c>
      <c r="H9" s="15">
        <v>1.4329841799530343</v>
      </c>
    </row>
    <row r="10" spans="1:14" x14ac:dyDescent="0.35">
      <c r="D10" s="14" t="s">
        <v>9</v>
      </c>
      <c r="E10" s="5">
        <v>29800</v>
      </c>
      <c r="G10" s="14" t="s">
        <v>9</v>
      </c>
      <c r="H10" s="15">
        <v>1.42206993006993</v>
      </c>
    </row>
    <row r="11" spans="1:14" x14ac:dyDescent="0.35">
      <c r="D11" s="14" t="s">
        <v>7</v>
      </c>
      <c r="E11" s="5">
        <v>39500</v>
      </c>
      <c r="G11" s="14" t="s">
        <v>7</v>
      </c>
      <c r="H11" s="15">
        <v>1.7768264062381709</v>
      </c>
    </row>
    <row r="12" spans="1:14" x14ac:dyDescent="0.35">
      <c r="D12" s="14" t="s">
        <v>22</v>
      </c>
      <c r="E12" s="5">
        <v>125300</v>
      </c>
      <c r="G12" s="14" t="s">
        <v>22</v>
      </c>
      <c r="H12" s="15">
        <v>5.964065390210715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03CE0-27E3-4487-8E4F-C5A8F0EEF2C3}">
  <dimension ref="A1:V23"/>
  <sheetViews>
    <sheetView tabSelected="1" zoomScale="80" zoomScaleNormal="80" workbookViewId="0">
      <selection activeCell="J11" sqref="J11"/>
    </sheetView>
  </sheetViews>
  <sheetFormatPr defaultRowHeight="14.5" x14ac:dyDescent="0.35"/>
  <cols>
    <col min="1" max="1" width="14.453125" customWidth="1"/>
    <col min="2" max="2" width="12.6328125" bestFit="1" customWidth="1"/>
    <col min="3" max="3" width="10.36328125" bestFit="1" customWidth="1"/>
    <col min="4" max="4" width="12.90625" customWidth="1"/>
    <col min="5" max="5" width="13.7265625" bestFit="1" customWidth="1"/>
    <col min="8" max="8" width="1.90625" customWidth="1"/>
    <col min="12" max="12" width="2.1796875" customWidth="1"/>
    <col min="13" max="13" width="15" bestFit="1" customWidth="1"/>
    <col min="14" max="14" width="14.36328125" bestFit="1" customWidth="1"/>
    <col min="15" max="15" width="15" bestFit="1" customWidth="1"/>
    <col min="16" max="16" width="2.1796875" customWidth="1"/>
    <col min="20" max="20" width="2.26953125" customWidth="1"/>
  </cols>
  <sheetData>
    <row r="1" spans="1:22" ht="54" customHeight="1" x14ac:dyDescent="1.1000000000000001">
      <c r="A1" s="33" t="s">
        <v>42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7" spans="1:22" ht="18.5" x14ac:dyDescent="0.45">
      <c r="A7" s="30"/>
      <c r="B7" s="30"/>
      <c r="C7" s="30"/>
    </row>
    <row r="9" spans="1:22" x14ac:dyDescent="0.35">
      <c r="A9" s="13" t="s">
        <v>1</v>
      </c>
      <c r="B9" t="s">
        <v>23</v>
      </c>
      <c r="M9" s="13" t="s">
        <v>40</v>
      </c>
      <c r="N9" t="s">
        <v>30</v>
      </c>
    </row>
    <row r="10" spans="1:22" x14ac:dyDescent="0.35">
      <c r="A10" s="14" t="s">
        <v>13</v>
      </c>
      <c r="B10" s="6">
        <v>31000</v>
      </c>
      <c r="M10" s="14" t="s">
        <v>8</v>
      </c>
      <c r="N10" s="6">
        <v>39500</v>
      </c>
    </row>
    <row r="11" spans="1:22" x14ac:dyDescent="0.35">
      <c r="A11" s="14" t="s">
        <v>11</v>
      </c>
      <c r="B11" s="6">
        <v>55500</v>
      </c>
      <c r="M11" s="14" t="s">
        <v>10</v>
      </c>
      <c r="N11" s="6">
        <v>29800</v>
      </c>
    </row>
    <row r="12" spans="1:22" x14ac:dyDescent="0.35">
      <c r="A12" s="14" t="s">
        <v>9</v>
      </c>
      <c r="B12" s="6">
        <v>46500</v>
      </c>
      <c r="M12" s="14" t="s">
        <v>14</v>
      </c>
      <c r="N12" s="6">
        <v>20600</v>
      </c>
    </row>
    <row r="13" spans="1:22" x14ac:dyDescent="0.35">
      <c r="A13" s="14" t="s">
        <v>7</v>
      </c>
      <c r="B13" s="6">
        <v>71500</v>
      </c>
      <c r="M13" s="14" t="s">
        <v>12</v>
      </c>
      <c r="N13" s="6">
        <v>35400</v>
      </c>
    </row>
    <row r="14" spans="1:22" x14ac:dyDescent="0.35">
      <c r="A14" s="14" t="s">
        <v>22</v>
      </c>
      <c r="B14" s="6">
        <v>204500</v>
      </c>
      <c r="M14" s="14" t="s">
        <v>22</v>
      </c>
      <c r="N14" s="6">
        <v>125300</v>
      </c>
    </row>
    <row r="18" spans="3:15" x14ac:dyDescent="0.35">
      <c r="C18" s="13" t="s">
        <v>0</v>
      </c>
      <c r="D18" t="s">
        <v>24</v>
      </c>
      <c r="E18" t="s">
        <v>39</v>
      </c>
      <c r="M18" s="13" t="s">
        <v>41</v>
      </c>
      <c r="N18" t="s">
        <v>23</v>
      </c>
      <c r="O18" t="s">
        <v>30</v>
      </c>
    </row>
    <row r="19" spans="3:15" x14ac:dyDescent="0.35">
      <c r="C19" s="14" t="s">
        <v>6</v>
      </c>
      <c r="D19" s="6">
        <v>14500</v>
      </c>
      <c r="E19" s="31">
        <v>0.21417956860057522</v>
      </c>
      <c r="M19" s="14" t="s">
        <v>13</v>
      </c>
      <c r="N19" s="5">
        <v>31000</v>
      </c>
      <c r="O19" s="5">
        <v>20600</v>
      </c>
    </row>
    <row r="20" spans="3:15" x14ac:dyDescent="0.35">
      <c r="C20" s="14" t="s">
        <v>15</v>
      </c>
      <c r="D20" s="6">
        <v>18500</v>
      </c>
      <c r="E20" s="31">
        <v>0.24516608654196467</v>
      </c>
      <c r="M20" s="14" t="s">
        <v>11</v>
      </c>
      <c r="N20" s="5">
        <v>55500</v>
      </c>
      <c r="O20" s="5">
        <v>35400</v>
      </c>
    </row>
    <row r="21" spans="3:15" x14ac:dyDescent="0.35">
      <c r="C21" s="14" t="s">
        <v>16</v>
      </c>
      <c r="D21" s="6">
        <v>21700</v>
      </c>
      <c r="E21" s="31">
        <v>0.26504903968385163</v>
      </c>
      <c r="M21" s="14" t="s">
        <v>9</v>
      </c>
      <c r="N21" s="5">
        <v>46500</v>
      </c>
      <c r="O21" s="5">
        <v>29800</v>
      </c>
    </row>
    <row r="22" spans="3:15" x14ac:dyDescent="0.35">
      <c r="C22" s="14" t="s">
        <v>17</v>
      </c>
      <c r="D22" s="6">
        <v>24500</v>
      </c>
      <c r="E22" s="31">
        <v>0.27560530517360854</v>
      </c>
      <c r="M22" s="14" t="s">
        <v>7</v>
      </c>
      <c r="N22" s="5">
        <v>71500</v>
      </c>
      <c r="O22" s="5">
        <v>39500</v>
      </c>
    </row>
    <row r="23" spans="3:15" x14ac:dyDescent="0.35">
      <c r="C23" s="14" t="s">
        <v>22</v>
      </c>
      <c r="D23" s="6">
        <v>79200</v>
      </c>
      <c r="E23" s="31">
        <v>1</v>
      </c>
      <c r="M23" s="14" t="s">
        <v>22</v>
      </c>
      <c r="N23" s="5">
        <v>204500</v>
      </c>
      <c r="O23" s="5">
        <v>125300</v>
      </c>
    </row>
  </sheetData>
  <mergeCells count="2">
    <mergeCell ref="A7:C7"/>
    <mergeCell ref="A1:V1"/>
  </mergeCells>
  <pageMargins left="0.7" right="0.7" top="0.75" bottom="0.75" header="0.3" footer="0.3"/>
  <pageSetup orientation="portrait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3A3C-E2F1-4D3D-8861-110D36D348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9F40-40FC-4CA9-B2CC-B40DCD20A16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Raw_Financial_Data</vt:lpstr>
      <vt:lpstr>Sheet1</vt:lpstr>
      <vt:lpstr>Cleaned_Data</vt:lpstr>
      <vt:lpstr>Financial_Analysis</vt:lpstr>
      <vt:lpstr>Executive_Dashboard</vt:lpstr>
      <vt:lpstr>Sheet2</vt:lpstr>
      <vt:lpstr>Executive_Insights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irtizaabbas05@gmail.com</dc:creator>
  <cp:lastModifiedBy>irtizaabbas05@gmail.com</cp:lastModifiedBy>
  <dcterms:created xsi:type="dcterms:W3CDTF">2026-05-28T00:24:03Z</dcterms:created>
  <dcterms:modified xsi:type="dcterms:W3CDTF">2026-06-02T02:12:12Z</dcterms:modified>
</cp:coreProperties>
</file>