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 Practice\"/>
    </mc:Choice>
  </mc:AlternateContent>
  <xr:revisionPtr revIDLastSave="0" documentId="13_ncr:1_{DAE1DBA8-308E-451F-B0E0-F7F7F93134EE}" xr6:coauthVersionLast="47" xr6:coauthVersionMax="47" xr10:uidLastSave="{00000000-0000-0000-0000-000000000000}"/>
  <bookViews>
    <workbookView xWindow="-110" yWindow="-110" windowWidth="19420" windowHeight="10420" xr2:uid="{F6E9C54C-750A-4BAA-8802-3E0D3E70C5CD}"/>
  </bookViews>
  <sheets>
    <sheet name="RawData" sheetId="1" r:id="rId1"/>
    <sheet name="CleanedData" sheetId="2" r:id="rId2"/>
    <sheet name="Analysis" sheetId="3" r:id="rId3"/>
    <sheet name="DashBoard" sheetId="4" r:id="rId4"/>
    <sheet name="Insights" sheetId="5" r:id="rId5"/>
  </sheets>
  <definedNames>
    <definedName name="Slicer_Category">#N/A</definedName>
    <definedName name="Slicer_City">#N/A</definedName>
    <definedName name="Slicer_Sales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4" l="1"/>
  <c r="C3" i="4"/>
  <c r="C2" i="4"/>
</calcChain>
</file>

<file path=xl/sharedStrings.xml><?xml version="1.0" encoding="utf-8"?>
<sst xmlns="http://schemas.openxmlformats.org/spreadsheetml/2006/main" count="276" uniqueCount="76">
  <si>
    <t>Order_ID</t>
  </si>
  <si>
    <t>Date</t>
  </si>
  <si>
    <t>Customer</t>
  </si>
  <si>
    <t>City</t>
  </si>
  <si>
    <t>Product</t>
  </si>
  <si>
    <t>Category</t>
  </si>
  <si>
    <t>Units</t>
  </si>
  <si>
    <t>Unit_Price</t>
  </si>
  <si>
    <t>Cost_Per_Unit</t>
  </si>
  <si>
    <t>Salesperson</t>
  </si>
  <si>
    <t>Ali Khan</t>
  </si>
  <si>
    <t>Lahore</t>
  </si>
  <si>
    <t>Wireless Mouse</t>
  </si>
  <si>
    <t>Electronics</t>
  </si>
  <si>
    <t>Ahmed</t>
  </si>
  <si>
    <t>Sara Noor</t>
  </si>
  <si>
    <t>Karachi</t>
  </si>
  <si>
    <t>LED Lamp</t>
  </si>
  <si>
    <t>Home</t>
  </si>
  <si>
    <t>Bilal</t>
  </si>
  <si>
    <t>Hassan Ali</t>
  </si>
  <si>
    <t>Islamabad</t>
  </si>
  <si>
    <t>Office Chair</t>
  </si>
  <si>
    <t>Office</t>
  </si>
  <si>
    <t>Ayesha</t>
  </si>
  <si>
    <t>Keyboard</t>
  </si>
  <si>
    <t>Zain</t>
  </si>
  <si>
    <t>Umar</t>
  </si>
  <si>
    <t>Faisalabad</t>
  </si>
  <si>
    <t>Water Bottle</t>
  </si>
  <si>
    <t>Accessories</t>
  </si>
  <si>
    <t>Hina</t>
  </si>
  <si>
    <t>Desk Lamp</t>
  </si>
  <si>
    <t>Daniyal</t>
  </si>
  <si>
    <t>USB Cable</t>
  </si>
  <si>
    <t>Fatima</t>
  </si>
  <si>
    <t>Notebook Set</t>
  </si>
  <si>
    <t>Multan</t>
  </si>
  <si>
    <t>Bluetooth Speaker</t>
  </si>
  <si>
    <t>Maryam</t>
  </si>
  <si>
    <t>Coffee Mug</t>
  </si>
  <si>
    <t>Revenue</t>
  </si>
  <si>
    <t>Total_Cost</t>
  </si>
  <si>
    <t>Profit</t>
  </si>
  <si>
    <t>Month</t>
  </si>
  <si>
    <t>January</t>
  </si>
  <si>
    <t>Grand Total</t>
  </si>
  <si>
    <t>Sum of Revenue</t>
  </si>
  <si>
    <t>Sales</t>
  </si>
  <si>
    <t>Total Profit</t>
  </si>
  <si>
    <t>February</t>
  </si>
  <si>
    <t>March</t>
  </si>
  <si>
    <t>April</t>
  </si>
  <si>
    <t>May</t>
  </si>
  <si>
    <t>June</t>
  </si>
  <si>
    <t>Days in Month</t>
  </si>
  <si>
    <t>Total Revenue</t>
  </si>
  <si>
    <t>Total Sales</t>
  </si>
  <si>
    <t>Customers</t>
  </si>
  <si>
    <t>NOVASTORE SALES ANALYSIS</t>
  </si>
  <si>
    <t>Total Revenue:</t>
  </si>
  <si>
    <t>Total Profit:</t>
  </si>
  <si>
    <t>Total Orders:</t>
  </si>
  <si>
    <t>Best Category:</t>
  </si>
  <si>
    <t>Products</t>
  </si>
  <si>
    <t>Insight 1:</t>
  </si>
  <si>
    <t>Insight 2:</t>
  </si>
  <si>
    <t>Electronics category contributed highest profit margins.</t>
  </si>
  <si>
    <t>Lahore generated the highest sales revenue among all cities.</t>
  </si>
  <si>
    <t>Insight 3:</t>
  </si>
  <si>
    <t>Accessories products showed high sales volume but low profitability.</t>
  </si>
  <si>
    <t>Insight 4:</t>
  </si>
  <si>
    <t>Ahmed achieved the highest overall sales performance.</t>
  </si>
  <si>
    <t>Business Insights</t>
  </si>
  <si>
    <t>Cleaned Data</t>
  </si>
  <si>
    <t>Raw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</si>
</sst>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_(&quot;$&quot;* #,##0_);_(&quot;$&quot;* \(#,##0\);_(&quot;$&quot;* &quot;-&quot;??_);_(@_)"/>
  </numFmts>
  <fonts count="9" x14ac:knownFonts="1">
    <font>
      <sz val="11"/>
      <color theme="1"/>
      <name val="Aptos Narrow"/>
      <family val="2"/>
      <scheme val="minor"/>
    </font>
    <font>
      <b/>
      <sz val="11"/>
      <color theme="1"/>
      <name val="Aptos Narrow"/>
      <family val="2"/>
      <scheme val="minor"/>
    </font>
    <font>
      <b/>
      <sz val="11"/>
      <color theme="1"/>
      <name val="Aptos Display"/>
      <family val="2"/>
      <scheme val="major"/>
    </font>
    <font>
      <sz val="11"/>
      <color theme="1"/>
      <name val="Aptos Display"/>
      <family val="2"/>
      <scheme val="major"/>
    </font>
    <font>
      <sz val="16"/>
      <color theme="1"/>
      <name val="Aptos Narrow"/>
      <family val="2"/>
      <scheme val="minor"/>
    </font>
    <font>
      <b/>
      <u/>
      <sz val="28"/>
      <color theme="1"/>
      <name val="Aptos Narrow"/>
      <family val="2"/>
      <scheme val="minor"/>
    </font>
    <font>
      <b/>
      <sz val="22"/>
      <color theme="1"/>
      <name val="Aptos Narrow"/>
      <family val="2"/>
      <scheme val="minor"/>
    </font>
    <font>
      <sz val="36"/>
      <color theme="1"/>
      <name val="Aptos Narrow"/>
      <family val="2"/>
      <scheme val="minor"/>
    </font>
    <font>
      <b/>
      <sz val="36"/>
      <color theme="1"/>
      <name val="Aptos Narrow"/>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FF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64" fontId="0" fillId="0" borderId="0" xfId="0" applyNumberFormat="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164" fontId="3" fillId="0" borderId="1" xfId="0" applyNumberFormat="1" applyFont="1" applyBorder="1" applyAlignment="1">
      <alignment vertical="center" wrapText="1"/>
    </xf>
    <xf numFmtId="0" fontId="2" fillId="0" borderId="1" xfId="0" applyFont="1" applyFill="1" applyBorder="1" applyAlignment="1">
      <alignment horizontal="center" vertical="center" wrapText="1"/>
    </xf>
    <xf numFmtId="0" fontId="0" fillId="0" borderId="1" xfId="0" applyBorder="1"/>
    <xf numFmtId="0" fontId="1" fillId="0" borderId="1" xfId="0" applyFont="1" applyBorder="1"/>
    <xf numFmtId="165" fontId="3" fillId="0" borderId="1" xfId="0" applyNumberFormat="1" applyFont="1" applyBorder="1" applyAlignment="1">
      <alignment vertical="center" wrapText="1"/>
    </xf>
    <xf numFmtId="165" fontId="0" fillId="0" borderId="1" xfId="0" applyNumberFormat="1" applyBorder="1"/>
    <xf numFmtId="0" fontId="0" fillId="0" borderId="0" xfId="0" pivotButton="1"/>
    <xf numFmtId="0" fontId="0" fillId="0" borderId="0" xfId="0" applyAlignment="1">
      <alignment horizontal="left"/>
    </xf>
    <xf numFmtId="165" fontId="0" fillId="0" borderId="0" xfId="0" applyNumberFormat="1"/>
    <xf numFmtId="165" fontId="0" fillId="3" borderId="0" xfId="0" applyNumberFormat="1" applyFill="1"/>
    <xf numFmtId="165" fontId="0" fillId="4" borderId="0" xfId="0" applyNumberFormat="1" applyFill="1"/>
    <xf numFmtId="0" fontId="0" fillId="5" borderId="0" xfId="0" applyFill="1"/>
    <xf numFmtId="0" fontId="0" fillId="6" borderId="0" xfId="0" applyFill="1"/>
    <xf numFmtId="0" fontId="1" fillId="0" borderId="0" xfId="0" applyFont="1"/>
    <xf numFmtId="0" fontId="5" fillId="2" borderId="0" xfId="0" applyFont="1" applyFill="1" applyAlignment="1">
      <alignment horizontal="center" vertical="center"/>
    </xf>
    <xf numFmtId="0" fontId="4" fillId="2" borderId="0" xfId="0" applyFont="1" applyFill="1" applyAlignment="1">
      <alignment horizontal="center" vertic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6" fillId="5" borderId="0" xfId="0" applyFont="1" applyFill="1" applyAlignment="1">
      <alignment horizontal="center" vertical="center"/>
    </xf>
    <xf numFmtId="0" fontId="1" fillId="5" borderId="0" xfId="0" applyFont="1" applyFill="1" applyAlignment="1">
      <alignment horizontal="center" vertical="center"/>
    </xf>
    <xf numFmtId="0" fontId="0" fillId="2" borderId="0" xfId="0" applyFill="1"/>
    <xf numFmtId="0" fontId="7" fillId="7" borderId="0" xfId="0" applyFont="1" applyFill="1" applyAlignment="1">
      <alignment horizontal="center" vertical="center"/>
    </xf>
    <xf numFmtId="0" fontId="7" fillId="7" borderId="2" xfId="0" applyFont="1" applyFill="1" applyBorder="1" applyAlignment="1">
      <alignment horizontal="center" vertical="center"/>
    </xf>
    <xf numFmtId="0" fontId="8" fillId="4" borderId="0" xfId="0" applyFont="1" applyFill="1" applyAlignment="1">
      <alignment horizontal="center" vertical="center"/>
    </xf>
  </cellXfs>
  <cellStyles count="1">
    <cellStyle name="Normal" xfId="0" builtinId="0"/>
  </cellStyles>
  <dxfs count="11">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[NovaMart-Retail-store-project.xlsx]DashBoard!PivotTable10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DashBoard!$E$2</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DashBoard!$D$3:$D$8</c:f>
              <c:strCache>
                <c:ptCount val="5"/>
                <c:pt idx="0">
                  <c:v>Lahore</c:v>
                </c:pt>
                <c:pt idx="1">
                  <c:v>Islamabad</c:v>
                </c:pt>
                <c:pt idx="2">
                  <c:v>Karachi</c:v>
                </c:pt>
                <c:pt idx="3">
                  <c:v>Multan</c:v>
                </c:pt>
                <c:pt idx="4">
                  <c:v>Faisalabad</c:v>
                </c:pt>
              </c:strCache>
            </c:strRef>
          </c:cat>
          <c:val>
            <c:numRef>
              <c:f>DashBoard!$E$3:$E$8</c:f>
              <c:numCache>
                <c:formatCode>_("$"* #,##0_);_("$"* \(#,##0\);_("$"* "-"??_);_(@_)</c:formatCode>
                <c:ptCount val="5"/>
                <c:pt idx="0">
                  <c:v>365</c:v>
                </c:pt>
                <c:pt idx="1">
                  <c:v>270</c:v>
                </c:pt>
                <c:pt idx="2">
                  <c:v>190</c:v>
                </c:pt>
                <c:pt idx="3">
                  <c:v>150</c:v>
                </c:pt>
                <c:pt idx="4">
                  <c:v>60</c:v>
                </c:pt>
              </c:numCache>
            </c:numRef>
          </c:val>
          <c:extLst>
            <c:ext xmlns:c16="http://schemas.microsoft.com/office/drawing/2014/chart" uri="{C3380CC4-5D6E-409C-BE32-E72D297353CC}">
              <c16:uniqueId val="{00000000-C3EF-4F8E-858E-3B84216B7A77}"/>
            </c:ext>
          </c:extLst>
        </c:ser>
        <c:dLbls>
          <c:showLegendKey val="0"/>
          <c:showVal val="0"/>
          <c:showCatName val="0"/>
          <c:showSerName val="0"/>
          <c:showPercent val="0"/>
          <c:showBubbleSize val="0"/>
        </c:dLbls>
        <c:gapWidth val="182"/>
        <c:axId val="914352271"/>
        <c:axId val="914356591"/>
      </c:barChart>
      <c:catAx>
        <c:axId val="91435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56591"/>
        <c:crosses val="autoZero"/>
        <c:auto val="1"/>
        <c:lblAlgn val="ctr"/>
        <c:lblOffset val="100"/>
        <c:noMultiLvlLbl val="0"/>
      </c:catAx>
      <c:valAx>
        <c:axId val="914356591"/>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5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[NovaMart-Retail-store-project.xlsx]DashBoard!PivotTable12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DashBoard!$E$10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2FF-4D4A-8851-9F58E760102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2FF-4D4A-8851-9F58E760102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2FF-4D4A-8851-9F58E760102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2FF-4D4A-8851-9F58E760102F}"/>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DashBoard!$D$11:$D$15</c:f>
              <c:strCache>
                <c:ptCount val="4"/>
                <c:pt idx="0">
                  <c:v>Electronics</c:v>
                </c:pt>
                <c:pt idx="1">
                  <c:v>Office</c:v>
                </c:pt>
                <c:pt idx="2">
                  <c:v>Home</c:v>
                </c:pt>
                <c:pt idx="3">
                  <c:v>Accessories</c:v>
                </c:pt>
              </c:strCache>
            </c:strRef>
          </c:cat>
          <c:val>
            <c:numRef>
              <c:f>DashBoard!$E$11:$E$15</c:f>
              <c:numCache>
                <c:formatCode>_("$"* #,##0_);_("$"* \(#,##0\);_("$"* "-"??_);_(@_)</c:formatCode>
                <c:ptCount val="4"/>
                <c:pt idx="0">
                  <c:v>200</c:v>
                </c:pt>
                <c:pt idx="1">
                  <c:v>108</c:v>
                </c:pt>
                <c:pt idx="2">
                  <c:v>86</c:v>
                </c:pt>
                <c:pt idx="3">
                  <c:v>77</c:v>
                </c:pt>
              </c:numCache>
            </c:numRef>
          </c:val>
          <c:extLst>
            <c:ext xmlns:c16="http://schemas.microsoft.com/office/drawing/2014/chart" uri="{C3380CC4-5D6E-409C-BE32-E72D297353CC}">
              <c16:uniqueId val="{00000000-2649-49E4-A2F4-8D3C5E9C8EA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[NovaMart-Retail-store-project.xlsx]DashBoard!PivotTable13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DashBoard!$E$17</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DashBoard!$D$18:$D$21</c:f>
              <c:strCache>
                <c:ptCount val="3"/>
                <c:pt idx="0">
                  <c:v>Office Chair</c:v>
                </c:pt>
                <c:pt idx="1">
                  <c:v>Bluetooth Speaker</c:v>
                </c:pt>
                <c:pt idx="2">
                  <c:v>Keyboard</c:v>
                </c:pt>
              </c:strCache>
            </c:strRef>
          </c:cat>
          <c:val>
            <c:numRef>
              <c:f>DashBoard!$E$18:$E$21</c:f>
              <c:numCache>
                <c:formatCode>_("$"* #,##0_);_("$"* \(#,##0\);_("$"* "-"??_);_(@_)</c:formatCode>
                <c:ptCount val="3"/>
                <c:pt idx="0">
                  <c:v>180</c:v>
                </c:pt>
                <c:pt idx="1">
                  <c:v>150</c:v>
                </c:pt>
                <c:pt idx="2">
                  <c:v>140</c:v>
                </c:pt>
              </c:numCache>
            </c:numRef>
          </c:val>
          <c:extLst>
            <c:ext xmlns:c16="http://schemas.microsoft.com/office/drawing/2014/chart" uri="{C3380CC4-5D6E-409C-BE32-E72D297353CC}">
              <c16:uniqueId val="{00000000-B9A5-4481-B1E7-A60829F5A59D}"/>
            </c:ext>
          </c:extLst>
        </c:ser>
        <c:dLbls>
          <c:showLegendKey val="0"/>
          <c:showVal val="0"/>
          <c:showCatName val="0"/>
          <c:showSerName val="0"/>
          <c:showPercent val="0"/>
          <c:showBubbleSize val="0"/>
        </c:dLbls>
        <c:gapWidth val="219"/>
        <c:overlap val="-27"/>
        <c:axId val="914711679"/>
        <c:axId val="914710719"/>
      </c:barChart>
      <c:catAx>
        <c:axId val="91471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10719"/>
        <c:crosses val="autoZero"/>
        <c:auto val="1"/>
        <c:lblAlgn val="ctr"/>
        <c:lblOffset val="100"/>
        <c:noMultiLvlLbl val="0"/>
      </c:catAx>
      <c:valAx>
        <c:axId val="914710719"/>
        <c:scaling>
          <c:orientation val="minMax"/>
        </c:scaling>
        <c:delete val="1"/>
        <c:axPos val="l"/>
        <c:numFmt formatCode="_(&quot;$&quot;* #,##0_);_(&quot;$&quot;* \(#,##0\);_(&quot;$&quot;* &quot;-&quot;??_);_(@_)" sourceLinked="1"/>
        <c:majorTickMark val="none"/>
        <c:minorTickMark val="none"/>
        <c:tickLblPos val="nextTo"/>
        <c:crossAx val="91471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[NovaMart-Retail-store-project.xlsx]DashBoard!PivotTable14</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DashBoard!$E$23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586-4CE9-AE65-AD15E5D6001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586-4CE9-AE65-AD15E5D6001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586-4CE9-AE65-AD15E5D600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DashBoard!$D$24:$D$27</c:f>
              <c:strCache>
                <c:ptCount val="3"/>
                <c:pt idx="0">
                  <c:v>Ahmed</c:v>
                </c:pt>
                <c:pt idx="1">
                  <c:v>Zain</c:v>
                </c:pt>
                <c:pt idx="2">
                  <c:v>Bilal</c:v>
                </c:pt>
              </c:strCache>
            </c:strRef>
          </c:cat>
          <c:val>
            <c:numRef>
              <c:f>DashBoard!$E$24:$E$27</c:f>
              <c:numCache>
                <c:formatCode>_("$"* #,##0_);_("$"* \(#,##0\);_("$"* "-"??_);_(@_)</c:formatCode>
                <c:ptCount val="3"/>
                <c:pt idx="0">
                  <c:v>455</c:v>
                </c:pt>
                <c:pt idx="1">
                  <c:v>290</c:v>
                </c:pt>
                <c:pt idx="2">
                  <c:v>290</c:v>
                </c:pt>
              </c:numCache>
            </c:numRef>
          </c:val>
          <c:extLst>
            <c:ext xmlns:c16="http://schemas.microsoft.com/office/drawing/2014/chart" uri="{C3380CC4-5D6E-409C-BE32-E72D297353CC}">
              <c16:uniqueId val="{00000000-8EE8-4FDE-9F83-02F7FA21344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10319</xdr:colOff>
      <xdr:row>1</xdr:row>
      <xdr:rowOff>263</xdr:rowOff>
    </xdr:from>
    <xdr:to>
      <xdr:col>10</xdr:col>
      <xdr:colOff>0</xdr:colOff>
      <xdr:row>11</xdr:row>
      <xdr:rowOff>4498</xdr:rowOff>
    </xdr:to>
    <xdr:graphicFrame macro="">
      <xdr:nvGraphicFramePr>
        <xdr:cNvPr id="3" name="Chart 2">
          <a:extLst>
            <a:ext uri="{FF2B5EF4-FFF2-40B4-BE49-F238E27FC236}">
              <a16:creationId xmlns:a16="http://schemas.microsoft.com/office/drawing/2014/main" id="{13D6A439-E3F5-12B7-6B51-6B52E2A2F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11905</xdr:colOff>
      <xdr:row>11</xdr:row>
      <xdr:rowOff>15873</xdr:rowOff>
    </xdr:from>
    <xdr:to>
      <xdr:col>10</xdr:col>
      <xdr:colOff>0</xdr:colOff>
      <xdr:row>20</xdr:row>
      <xdr:rowOff>181428</xdr:rowOff>
    </xdr:to>
    <xdr:graphicFrame macro="">
      <xdr:nvGraphicFramePr>
        <xdr:cNvPr id="5" name="Chart 4">
          <a:extLst>
            <a:ext uri="{FF2B5EF4-FFF2-40B4-BE49-F238E27FC236}">
              <a16:creationId xmlns:a16="http://schemas.microsoft.com/office/drawing/2014/main" id="{322F64F9-3019-1538-79CB-D1DC4CF47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23813</xdr:colOff>
      <xdr:row>5</xdr:row>
      <xdr:rowOff>18143</xdr:rowOff>
    </xdr:from>
    <xdr:to>
      <xdr:col>3</xdr:col>
      <xdr:colOff>0</xdr:colOff>
      <xdr:row>27</xdr:row>
      <xdr:rowOff>5773</xdr:rowOff>
    </xdr:to>
    <xdr:graphicFrame macro="">
      <xdr:nvGraphicFramePr>
        <xdr:cNvPr id="6" name="Chart 5">
          <a:extLst>
            <a:ext uri="{FF2B5EF4-FFF2-40B4-BE49-F238E27FC236}">
              <a16:creationId xmlns:a16="http://schemas.microsoft.com/office/drawing/2014/main" id="{7B4D3F3D-F5E2-B70F-A437-C6745E8C7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12401</xdr:colOff>
      <xdr:row>1</xdr:row>
      <xdr:rowOff>5773</xdr:rowOff>
    </xdr:from>
    <xdr:to>
      <xdr:col>13</xdr:col>
      <xdr:colOff>17843</xdr:colOff>
      <xdr:row>11</xdr:row>
      <xdr:rowOff>8292</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21EF4678-E591-2901-9F20-9B3E3864CC0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274492" y="594591"/>
              <a:ext cx="1841169" cy="1849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6928</xdr:colOff>
      <xdr:row>11</xdr:row>
      <xdr:rowOff>28864</xdr:rowOff>
    </xdr:from>
    <xdr:to>
      <xdr:col>13</xdr:col>
      <xdr:colOff>3997</xdr:colOff>
      <xdr:row>20</xdr:row>
      <xdr:rowOff>158528</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2F5772D-2A0D-2103-8C75-779BF3A757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69019" y="2464955"/>
              <a:ext cx="1832796" cy="1792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22610</xdr:colOff>
      <xdr:row>21</xdr:row>
      <xdr:rowOff>11546</xdr:rowOff>
    </xdr:from>
    <xdr:to>
      <xdr:col>13</xdr:col>
      <xdr:colOff>25785</xdr:colOff>
      <xdr:row>28</xdr:row>
      <xdr:rowOff>63500</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65E232AF-F978-48E1-88BD-7672389A3E0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284701" y="4294910"/>
              <a:ext cx="1838902" cy="1345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29102</xdr:colOff>
      <xdr:row>21</xdr:row>
      <xdr:rowOff>12174</xdr:rowOff>
    </xdr:from>
    <xdr:to>
      <xdr:col>10</xdr:col>
      <xdr:colOff>5291</xdr:colOff>
      <xdr:row>28</xdr:row>
      <xdr:rowOff>80818</xdr:rowOff>
    </xdr:to>
    <xdr:graphicFrame macro="">
      <xdr:nvGraphicFramePr>
        <xdr:cNvPr id="10" name="Chart 9">
          <a:extLst>
            <a:ext uri="{FF2B5EF4-FFF2-40B4-BE49-F238E27FC236}">
              <a16:creationId xmlns:a16="http://schemas.microsoft.com/office/drawing/2014/main" id="{17D4BC12-FEC3-2BF3-64A6-1EBC84C50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AS" refreshedDate="46163.699988078704" createdVersion="8" refreshedVersion="8" minRefreshableVersion="3" recordCount="10" xr:uid="{A22C3764-A293-487C-8EF5-F8586906B46F}">
  <cacheSource type="worksheet">
    <worksheetSource ref="A16:N26" sheet="CleanedData"/>
  </cacheSource>
  <cacheFields count="14">
    <cacheField name="Order_ID" numFmtId="0">
      <sharedItems containsSemiMixedTypes="0" containsString="0" containsNumber="1" containsInteger="1" minValue="1001" maxValue="1010"/>
    </cacheField>
    <cacheField name="Date" numFmtId="164">
      <sharedItems containsSemiMixedTypes="0" containsNonDate="0" containsDate="1" containsString="0" minDate="2026-01-05T00:00:00" maxDate="2026-01-15T00:00:00" count="10">
        <d v="2026-01-05T00:00:00"/>
        <d v="2026-01-06T00:00:00"/>
        <d v="2026-01-07T00:00:00"/>
        <d v="2026-01-08T00:00:00"/>
        <d v="2026-01-09T00:00:00"/>
        <d v="2026-01-10T00:00:00"/>
        <d v="2026-01-11T00:00:00"/>
        <d v="2026-01-12T00:00:00"/>
        <d v="2026-01-13T00:00:00"/>
        <d v="2026-01-14T00:00:00"/>
      </sharedItems>
    </cacheField>
    <cacheField name="Customer" numFmtId="0">
      <sharedItems count="10">
        <s v="Ali Khan"/>
        <s v="Sara Noor"/>
        <s v="Hassan Ali"/>
        <s v="Ayesha"/>
        <s v="Umar"/>
        <s v="Hina"/>
        <s v="Daniyal"/>
        <s v="Fatima"/>
        <s v="Bilal"/>
        <s v="Maryam"/>
      </sharedItems>
    </cacheField>
    <cacheField name="City" numFmtId="0">
      <sharedItems count="5">
        <s v="Lahore"/>
        <s v="Karachi"/>
        <s v="Islamabad"/>
        <s v="Faisalabad"/>
        <s v="Multan"/>
      </sharedItems>
    </cacheField>
    <cacheField name="Product" numFmtId="0">
      <sharedItems count="10">
        <s v="Wireless Mouse"/>
        <s v="LED Lamp"/>
        <s v="Office Chair"/>
        <s v="Keyboard"/>
        <s v="Water Bottle"/>
        <s v="Desk Lamp"/>
        <s v="USB Cable"/>
        <s v="Notebook Set"/>
        <s v="Bluetooth Speaker"/>
        <s v="Coffee Mug"/>
      </sharedItems>
    </cacheField>
    <cacheField name="Category" numFmtId="0">
      <sharedItems count="4">
        <s v="Electronics"/>
        <s v="Home"/>
        <s v="Office"/>
        <s v="Accessories"/>
      </sharedItems>
    </cacheField>
    <cacheField name="Units" numFmtId="0">
      <sharedItems containsSemiMixedTypes="0" containsString="0" containsNumber="1" containsInteger="1" minValue="1" maxValue="10"/>
    </cacheField>
    <cacheField name="Unit_Price" numFmtId="165">
      <sharedItems containsSemiMixedTypes="0" containsString="0" containsNumber="1" containsInteger="1" minValue="8" maxValue="180"/>
    </cacheField>
    <cacheField name="Cost_Per_Unit" numFmtId="165">
      <sharedItems containsSemiMixedTypes="0" containsString="0" containsNumber="1" containsInteger="1" minValue="3" maxValue="120"/>
    </cacheField>
    <cacheField name="Salesperson" numFmtId="0">
      <sharedItems count="3">
        <s v="Ahmed"/>
        <s v="Bilal"/>
        <s v="Zain"/>
      </sharedItems>
    </cacheField>
    <cacheField name="Revenue" numFmtId="165">
      <sharedItems containsSemiMixedTypes="0" containsString="0" containsNumber="1" containsInteger="1" minValue="60" maxValue="180"/>
    </cacheField>
    <cacheField name="Total_Cost" numFmtId="165">
      <sharedItems containsSemiMixedTypes="0" containsString="0" containsNumber="1" containsInteger="1" minValue="25" maxValue="120"/>
    </cacheField>
    <cacheField name="Profit" numFmtId="165">
      <sharedItems containsSemiMixedTypes="0" containsString="0" containsNumber="1" containsInteger="1" minValue="30" maxValue="60"/>
    </cacheField>
    <cacheField name="Month" numFmtId="0">
      <sharedItems count="1">
        <s v="January"/>
      </sharedItems>
    </cacheField>
  </cacheFields>
  <extLst>
    <ext xmlns:x14="http://schemas.microsoft.com/office/spreadsheetml/2009/9/main" uri="{725AE2AE-9491-48be-B2B4-4EB974FC3084}">
      <x14:pivotCacheDefinition pivotCacheId="873784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x v="0"/>
    <x v="0"/>
    <x v="0"/>
    <n v="3"/>
    <n v="25"/>
    <n v="15"/>
    <x v="0"/>
    <n v="75"/>
    <n v="45"/>
    <n v="30"/>
    <x v="0"/>
  </r>
  <r>
    <n v="1002"/>
    <x v="1"/>
    <x v="1"/>
    <x v="1"/>
    <x v="1"/>
    <x v="1"/>
    <n v="2"/>
    <n v="40"/>
    <n v="22"/>
    <x v="1"/>
    <n v="80"/>
    <n v="44"/>
    <n v="36"/>
    <x v="0"/>
  </r>
  <r>
    <n v="1003"/>
    <x v="2"/>
    <x v="2"/>
    <x v="2"/>
    <x v="2"/>
    <x v="2"/>
    <n v="1"/>
    <n v="180"/>
    <n v="120"/>
    <x v="0"/>
    <n v="180"/>
    <n v="120"/>
    <n v="60"/>
    <x v="0"/>
  </r>
  <r>
    <n v="1004"/>
    <x v="3"/>
    <x v="3"/>
    <x v="0"/>
    <x v="3"/>
    <x v="0"/>
    <n v="4"/>
    <n v="35"/>
    <n v="20"/>
    <x v="2"/>
    <n v="140"/>
    <n v="80"/>
    <n v="60"/>
    <x v="0"/>
  </r>
  <r>
    <n v="1005"/>
    <x v="4"/>
    <x v="4"/>
    <x v="3"/>
    <x v="4"/>
    <x v="3"/>
    <n v="5"/>
    <n v="12"/>
    <n v="5"/>
    <x v="1"/>
    <n v="60"/>
    <n v="25"/>
    <n v="35"/>
    <x v="0"/>
  </r>
  <r>
    <n v="1006"/>
    <x v="5"/>
    <x v="5"/>
    <x v="1"/>
    <x v="5"/>
    <x v="1"/>
    <n v="2"/>
    <n v="55"/>
    <n v="30"/>
    <x v="0"/>
    <n v="110"/>
    <n v="60"/>
    <n v="50"/>
    <x v="0"/>
  </r>
  <r>
    <n v="1007"/>
    <x v="6"/>
    <x v="6"/>
    <x v="0"/>
    <x v="6"/>
    <x v="0"/>
    <n v="10"/>
    <n v="8"/>
    <n v="3"/>
    <x v="2"/>
    <n v="80"/>
    <n v="30"/>
    <n v="50"/>
    <x v="0"/>
  </r>
  <r>
    <n v="1008"/>
    <x v="7"/>
    <x v="7"/>
    <x v="2"/>
    <x v="7"/>
    <x v="2"/>
    <n v="6"/>
    <n v="15"/>
    <n v="7"/>
    <x v="0"/>
    <n v="90"/>
    <n v="42"/>
    <n v="48"/>
    <x v="0"/>
  </r>
  <r>
    <n v="1009"/>
    <x v="8"/>
    <x v="8"/>
    <x v="4"/>
    <x v="8"/>
    <x v="0"/>
    <n v="2"/>
    <n v="75"/>
    <n v="45"/>
    <x v="1"/>
    <n v="150"/>
    <n v="90"/>
    <n v="60"/>
    <x v="0"/>
  </r>
  <r>
    <n v="1010"/>
    <x v="9"/>
    <x v="9"/>
    <x v="0"/>
    <x v="9"/>
    <x v="3"/>
    <n v="7"/>
    <n v="10"/>
    <n v="4"/>
    <x v="2"/>
    <n v="70"/>
    <n v="28"/>
    <n v="4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8EF1EF-0859-45C2-BD87-F3C7F22E9D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s in Month">
  <location ref="A11:B13" firstHeaderRow="1" firstDataRow="1" firstDataCol="1"/>
  <pivotFields count="14">
    <pivotField showAll="0"/>
    <pivotField axis="axisRow" numFmtId="164"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5" showAll="0"/>
    <pivotField numFmtId="165" showAll="0"/>
    <pivotField showAll="0"/>
    <pivotField dataField="1" numFmtId="165" showAll="0"/>
    <pivotField numFmtId="165" showAll="0"/>
    <pivotField numFmtId="165" showAll="0"/>
    <pivotField axis="axisRow" showAll="0">
      <items count="2">
        <item sd="0" x="0"/>
        <item t="default"/>
      </items>
    </pivotField>
  </pivotFields>
  <rowFields count="2">
    <field x="13"/>
    <field x="1"/>
  </rowFields>
  <rowItems count="2">
    <i>
      <x/>
    </i>
    <i t="grand">
      <x/>
    </i>
  </rowItems>
  <colItems count="1">
    <i/>
  </colItems>
  <dataFields count="1">
    <dataField name="Total Revenue" fld="10" baseField="13" baseItem="0"/>
  </dataFields>
  <formats count="3">
    <format dxfId="6">
      <pivotArea collapsedLevelsAreSubtotals="1" fieldPosition="0">
        <references count="1">
          <reference field="13" count="0"/>
        </references>
      </pivotArea>
    </format>
    <format dxfId="5">
      <pivotArea grandRow="1" outline="0" collapsedLevelsAreSubtotals="1" fieldPosition="0"/>
    </format>
    <format dxfId="4">
      <pivotArea collapsedLevelsAreSubtotals="1" fieldPosition="0">
        <references count="2">
          <reference field="1" count="0"/>
          <reference field="13"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956D45-DD10-4FE8-AAA3-8D4E0CF7C9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3:E8" firstHeaderRow="1" firstDataRow="1" firstDataCol="1"/>
  <pivotFields count="14">
    <pivotField showAll="0"/>
    <pivotField numFmtId="164" showAll="0"/>
    <pivotField showAll="0"/>
    <pivotField showAll="0"/>
    <pivotField showAll="0"/>
    <pivotField axis="axisRow" showAll="0">
      <items count="5">
        <item x="3"/>
        <item x="0"/>
        <item x="1"/>
        <item x="2"/>
        <item t="default"/>
      </items>
    </pivotField>
    <pivotField showAll="0"/>
    <pivotField numFmtId="165" showAll="0"/>
    <pivotField numFmtId="165" showAll="0"/>
    <pivotField showAll="0"/>
    <pivotField dataField="1" numFmtId="165" showAll="0"/>
    <pivotField numFmtId="165" showAll="0"/>
    <pivotField numFmtId="165" showAll="0"/>
    <pivotField showAll="0"/>
  </pivotFields>
  <rowFields count="1">
    <field x="5"/>
  </rowFields>
  <rowItems count="5">
    <i>
      <x/>
    </i>
    <i>
      <x v="1"/>
    </i>
    <i>
      <x v="2"/>
    </i>
    <i>
      <x v="3"/>
    </i>
    <i t="grand">
      <x/>
    </i>
  </rowItems>
  <colItems count="1">
    <i/>
  </colItems>
  <dataFields count="1">
    <dataField name="Sum of Revenue" fld="10"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375916-4611-4027-AEFD-1B276B2FC6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A3:B9" firstHeaderRow="1" firstDataRow="1" firstDataCol="1"/>
  <pivotFields count="14">
    <pivotField showAll="0"/>
    <pivotField numFmtId="164" showAll="0"/>
    <pivotField showAll="0"/>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165" showAll="0"/>
    <pivotField showAll="0"/>
    <pivotField dataField="1" numFmtId="165" showAll="0"/>
    <pivotField numFmtId="165" showAll="0"/>
    <pivotField numFmtId="165" showAll="0"/>
    <pivotField showAll="0"/>
  </pivotFields>
  <rowFields count="1">
    <field x="3"/>
  </rowFields>
  <rowItems count="6">
    <i>
      <x v="3"/>
    </i>
    <i>
      <x v="1"/>
    </i>
    <i>
      <x v="2"/>
    </i>
    <i>
      <x v="4"/>
    </i>
    <i>
      <x/>
    </i>
    <i t="grand">
      <x/>
    </i>
  </rowItems>
  <colItems count="1">
    <i/>
  </colItems>
  <dataFields count="1">
    <dataField name="Sales" fld="10" baseField="3"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B7FB8A-B6AA-4A37-AC8B-E05C988E27F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J3:K14" firstHeaderRow="1" firstDataRow="1" firstDataCol="1"/>
  <pivotFields count="14">
    <pivotField showAll="0"/>
    <pivotField numFmtId="164" showAll="0"/>
    <pivotField axis="axisRow" showAll="0" sortType="descending">
      <items count="11">
        <item x="0"/>
        <item x="3"/>
        <item x="8"/>
        <item x="6"/>
        <item x="7"/>
        <item x="2"/>
        <item x="5"/>
        <item x="9"/>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numFmtId="165" showAll="0"/>
    <pivotField showAll="0"/>
    <pivotField dataField="1" numFmtId="165" showAll="0"/>
    <pivotField numFmtId="165" showAll="0"/>
    <pivotField numFmtId="165" showAll="0"/>
    <pivotField showAll="0"/>
  </pivotFields>
  <rowFields count="1">
    <field x="2"/>
  </rowFields>
  <rowItems count="11">
    <i>
      <x v="5"/>
    </i>
    <i>
      <x v="2"/>
    </i>
    <i>
      <x v="1"/>
    </i>
    <i>
      <x v="6"/>
    </i>
    <i>
      <x v="4"/>
    </i>
    <i>
      <x v="8"/>
    </i>
    <i>
      <x v="3"/>
    </i>
    <i>
      <x/>
    </i>
    <i>
      <x v="7"/>
    </i>
    <i>
      <x v="9"/>
    </i>
    <i t="grand">
      <x/>
    </i>
  </rowItems>
  <colItems count="1">
    <i/>
  </colItems>
  <dataFields count="1">
    <dataField name="Total Revenue" fld="10" baseField="2" baseItem="0" numFmtId="16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9D9551-45A7-4503-A24F-B6B562988B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G3:H7" firstHeaderRow="1" firstDataRow="1" firstDataCol="1"/>
  <pivotFields count="14">
    <pivotField showAll="0"/>
    <pivotField numFmtId="164" showAll="0"/>
    <pivotField showAll="0"/>
    <pivotField showAll="0"/>
    <pivotField showAll="0"/>
    <pivotField showAll="0"/>
    <pivotField showAll="0"/>
    <pivotField numFmtId="165" showAll="0"/>
    <pivotField numFmtId="165" showAll="0"/>
    <pivotField axis="axisRow" showAll="0">
      <items count="4">
        <item x="0"/>
        <item x="1"/>
        <item x="2"/>
        <item t="default"/>
      </items>
    </pivotField>
    <pivotField dataField="1" numFmtId="165" showAll="0"/>
    <pivotField numFmtId="165" showAll="0"/>
    <pivotField numFmtId="165" showAll="0"/>
    <pivotField showAll="0"/>
  </pivotFields>
  <rowFields count="1">
    <field x="9"/>
  </rowFields>
  <rowItems count="4">
    <i>
      <x/>
    </i>
    <i>
      <x v="1"/>
    </i>
    <i>
      <x v="2"/>
    </i>
    <i t="grand">
      <x/>
    </i>
  </rowItems>
  <colItems count="1">
    <i/>
  </colItems>
  <dataFields count="1">
    <dataField name="Sum of Revenue" fld="10"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2DB958-811C-4C8D-AFBF-04DBD30F2F45}"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ategory">
  <location ref="D10:E15" firstHeaderRow="1" firstDataRow="1" firstDataCol="1"/>
  <pivotFields count="14">
    <pivotField showAll="0"/>
    <pivotField numFmtId="164"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showAll="0"/>
    <pivotField numFmtId="165" showAll="0"/>
    <pivotField numFmtId="165" showAll="0"/>
    <pivotField dataField="1" numFmtId="165" showAll="0"/>
    <pivotField showAll="0"/>
  </pivotFields>
  <rowFields count="1">
    <field x="5"/>
  </rowFields>
  <rowItems count="5">
    <i>
      <x v="1"/>
    </i>
    <i>
      <x v="3"/>
    </i>
    <i>
      <x v="2"/>
    </i>
    <i>
      <x/>
    </i>
    <i t="grand">
      <x/>
    </i>
  </rowItems>
  <colItems count="1">
    <i/>
  </colItems>
  <dataFields count="1">
    <dataField name="Total Profit" fld="12" baseField="5" baseItem="0" numFmtId="165"/>
  </dataFields>
  <formats count="1">
    <format dxfId="0">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1"/>
          </reference>
        </references>
      </pivotArea>
    </chartFormat>
    <chartFormat chart="3" format="2">
      <pivotArea type="data" outline="0" fieldPosition="0">
        <references count="2">
          <reference field="4294967294" count="1" selected="0">
            <x v="0"/>
          </reference>
          <reference field="5" count="1" selected="0">
            <x v="3"/>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B7E770-0EB5-44C3-9868-BB6166A5FAA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ity">
  <location ref="D2:E8" firstHeaderRow="1" firstDataRow="1" firstDataCol="1"/>
  <pivotFields count="14">
    <pivotField showAll="0"/>
    <pivotField numFmtId="164" showAll="0"/>
    <pivotField showAll="0"/>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165" showAll="0"/>
    <pivotField showAll="0"/>
    <pivotField dataField="1" numFmtId="165" showAll="0"/>
    <pivotField numFmtId="165" showAll="0"/>
    <pivotField numFmtId="165" showAll="0"/>
    <pivotField showAll="0"/>
  </pivotFields>
  <rowFields count="1">
    <field x="3"/>
  </rowFields>
  <rowItems count="6">
    <i>
      <x v="3"/>
    </i>
    <i>
      <x v="1"/>
    </i>
    <i>
      <x v="2"/>
    </i>
    <i>
      <x v="4"/>
    </i>
    <i>
      <x/>
    </i>
    <i t="grand">
      <x/>
    </i>
  </rowItems>
  <colItems count="1">
    <i/>
  </colItems>
  <dataFields count="1">
    <dataField name="Sales" fld="10" baseField="3"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DFE756-578F-481D-890C-6DF8DB8A483B}"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alesperson">
  <location ref="D23:E27" firstHeaderRow="1" firstDataRow="1" firstDataCol="1"/>
  <pivotFields count="14">
    <pivotField showAll="0"/>
    <pivotField numFmtId="164" showAll="0"/>
    <pivotField showAll="0"/>
    <pivotField showAll="0"/>
    <pivotField showAll="0"/>
    <pivotField showAll="0"/>
    <pivotField showAll="0"/>
    <pivotField numFmtId="165" showAll="0"/>
    <pivotField numFmtId="165"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numFmtId="165" showAll="0"/>
    <pivotField numFmtId="165" showAll="0"/>
    <pivotField numFmtId="165" showAll="0"/>
    <pivotField showAll="0"/>
  </pivotFields>
  <rowFields count="1">
    <field x="9"/>
  </rowFields>
  <rowItems count="4">
    <i>
      <x/>
    </i>
    <i>
      <x v="2"/>
    </i>
    <i>
      <x v="1"/>
    </i>
    <i t="grand">
      <x/>
    </i>
  </rowItems>
  <colItems count="1">
    <i/>
  </colItems>
  <dataFields count="1">
    <dataField name="Total Sales" fld="10" baseField="9" baseItem="0" numFmtId="165"/>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ADFB2E-D05F-429C-A8E4-07FE8E4CDCFF}"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Products">
  <location ref="D17:E21" firstHeaderRow="1" firstDataRow="1" firstDataCol="1"/>
  <pivotFields count="14">
    <pivotField showAll="0"/>
    <pivotField numFmtId="164" showAll="0"/>
    <pivotField showAll="0"/>
    <pivotField showAll="0"/>
    <pivotField axis="axisRow" showAll="0" measureFilter="1" sortType="descending">
      <items count="11">
        <item x="8"/>
        <item x="9"/>
        <item x="5"/>
        <item x="3"/>
        <item x="1"/>
        <item x="7"/>
        <item x="2"/>
        <item x="6"/>
        <item x="4"/>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showAll="0"/>
    <pivotField dataField="1" numFmtId="165" showAll="0"/>
    <pivotField numFmtId="165" showAll="0"/>
    <pivotField numFmtId="165" showAll="0"/>
    <pivotField showAll="0"/>
  </pivotFields>
  <rowFields count="1">
    <field x="4"/>
  </rowFields>
  <rowItems count="4">
    <i>
      <x v="6"/>
    </i>
    <i>
      <x/>
    </i>
    <i>
      <x v="3"/>
    </i>
    <i t="grand">
      <x/>
    </i>
  </rowItems>
  <colItems count="1">
    <i/>
  </colItems>
  <dataFields count="1">
    <dataField name="Total Revenue" fld="10" baseField="4" baseItem="0" numFmtId="165"/>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DC4DC0-90C4-48E3-9487-E553C2C25B3C}" sourceName="City">
  <pivotTables>
    <pivotTable tabId="4" name="PivotTable10"/>
    <pivotTable tabId="3" name="PivotTable1"/>
  </pivotTables>
  <data>
    <tabular pivotCacheId="873784904">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BEEA41-9707-480E-BA13-6B51F0BA6082}" sourceName="Category">
  <pivotTables>
    <pivotTable tabId="4" name="PivotTable12"/>
    <pivotTable tabId="3" name="PivotTable2"/>
  </pivotTables>
  <data>
    <tabular pivotCacheId="873784904">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4184AE9-AC1F-4D96-BECE-5135FF8F9F9F}" sourceName="Salesperson">
  <pivotTables>
    <pivotTable tabId="3" name="PivotTable8"/>
    <pivotTable tabId="4" name="PivotTable14"/>
  </pivotTables>
  <data>
    <tabular pivotCacheId="87378490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50D0E7C-28C3-41AD-93BA-DAB156D9EFD9}" cache="Slicer_City" caption="City" style="SlicerStyleLight5" rowHeight="251883"/>
  <slicer name="Category" xr10:uid="{BD6A0A38-A0ED-43DD-A8DF-7E88E6405966}" cache="Slicer_Category" caption="Category" style="SlicerStyleLight2" rowHeight="251883"/>
  <slicer name="Salesperson" xr10:uid="{876DD578-0C46-4BAC-B59C-E120697B7D11}" cache="Slicer_Salesperson" caption="Salesperson" style="SlicerStyleOther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B37E-523E-464A-BE52-139888FB045F}">
  <dimension ref="A1:J11"/>
  <sheetViews>
    <sheetView tabSelected="1" zoomScale="120" zoomScaleNormal="120" workbookViewId="0">
      <selection activeCell="D15" sqref="D15"/>
    </sheetView>
  </sheetViews>
  <sheetFormatPr defaultRowHeight="14.5" x14ac:dyDescent="0.35"/>
  <cols>
    <col min="1" max="1" width="8.08984375" bestFit="1" customWidth="1"/>
    <col min="2" max="2" width="10.08984375" bestFit="1" customWidth="1"/>
    <col min="3" max="3" width="12.81640625" customWidth="1"/>
    <col min="4" max="4" width="13.36328125" customWidth="1"/>
    <col min="5" max="5" width="22.08984375" customWidth="1"/>
    <col min="6" max="6" width="15.08984375" customWidth="1"/>
    <col min="7" max="7" width="9.08984375" customWidth="1"/>
    <col min="8" max="8" width="14.26953125" customWidth="1"/>
    <col min="9" max="9" width="16.90625" customWidth="1"/>
    <col min="10" max="10" width="13.5429687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v>1001</v>
      </c>
      <c r="B2" s="3">
        <v>46027</v>
      </c>
      <c r="C2" s="2" t="s">
        <v>10</v>
      </c>
      <c r="D2" s="2" t="s">
        <v>11</v>
      </c>
      <c r="E2" s="2" t="s">
        <v>12</v>
      </c>
      <c r="F2" s="2" t="s">
        <v>13</v>
      </c>
      <c r="G2" s="2">
        <v>3</v>
      </c>
      <c r="H2" s="2">
        <v>25</v>
      </c>
      <c r="I2" s="2">
        <v>15</v>
      </c>
      <c r="J2" s="2" t="s">
        <v>14</v>
      </c>
    </row>
    <row r="3" spans="1:10" x14ac:dyDescent="0.35">
      <c r="A3" s="2">
        <v>1002</v>
      </c>
      <c r="B3" s="3">
        <v>46028</v>
      </c>
      <c r="C3" s="2" t="s">
        <v>15</v>
      </c>
      <c r="D3" s="2" t="s">
        <v>16</v>
      </c>
      <c r="E3" s="2" t="s">
        <v>17</v>
      </c>
      <c r="F3" s="2" t="s">
        <v>18</v>
      </c>
      <c r="G3" s="2">
        <v>2</v>
      </c>
      <c r="H3" s="2">
        <v>40</v>
      </c>
      <c r="I3" s="2">
        <v>22</v>
      </c>
      <c r="J3" s="2" t="s">
        <v>19</v>
      </c>
    </row>
    <row r="4" spans="1:10" x14ac:dyDescent="0.35">
      <c r="A4" s="2">
        <v>1003</v>
      </c>
      <c r="B4" s="3">
        <v>46060</v>
      </c>
      <c r="C4" s="2" t="s">
        <v>20</v>
      </c>
      <c r="D4" s="2" t="s">
        <v>21</v>
      </c>
      <c r="E4" s="2" t="s">
        <v>22</v>
      </c>
      <c r="F4" s="2" t="s">
        <v>23</v>
      </c>
      <c r="G4" s="2">
        <v>1</v>
      </c>
      <c r="H4" s="2">
        <v>180</v>
      </c>
      <c r="I4" s="2">
        <v>120</v>
      </c>
      <c r="J4" s="2" t="s">
        <v>14</v>
      </c>
    </row>
    <row r="5" spans="1:10" x14ac:dyDescent="0.35">
      <c r="A5" s="2">
        <v>1004</v>
      </c>
      <c r="B5" s="3">
        <v>46061</v>
      </c>
      <c r="C5" s="2" t="s">
        <v>24</v>
      </c>
      <c r="D5" s="2" t="s">
        <v>11</v>
      </c>
      <c r="E5" s="2" t="s">
        <v>25</v>
      </c>
      <c r="F5" s="2" t="s">
        <v>13</v>
      </c>
      <c r="G5" s="2">
        <v>4</v>
      </c>
      <c r="H5" s="2">
        <v>35</v>
      </c>
      <c r="I5" s="2">
        <v>20</v>
      </c>
      <c r="J5" s="2" t="s">
        <v>26</v>
      </c>
    </row>
    <row r="6" spans="1:10" x14ac:dyDescent="0.35">
      <c r="A6" s="2">
        <v>1005</v>
      </c>
      <c r="B6" s="3">
        <v>46090</v>
      </c>
      <c r="C6" s="2" t="s">
        <v>27</v>
      </c>
      <c r="D6" s="2" t="s">
        <v>28</v>
      </c>
      <c r="E6" s="2" t="s">
        <v>29</v>
      </c>
      <c r="F6" s="2" t="s">
        <v>30</v>
      </c>
      <c r="G6" s="2">
        <v>5</v>
      </c>
      <c r="H6" s="2">
        <v>12</v>
      </c>
      <c r="I6" s="2">
        <v>5</v>
      </c>
      <c r="J6" s="2" t="s">
        <v>19</v>
      </c>
    </row>
    <row r="7" spans="1:10" x14ac:dyDescent="0.35">
      <c r="A7" s="2">
        <v>1006</v>
      </c>
      <c r="B7" s="3">
        <v>46091</v>
      </c>
      <c r="C7" s="2" t="s">
        <v>31</v>
      </c>
      <c r="D7" s="2" t="s">
        <v>16</v>
      </c>
      <c r="E7" s="2" t="s">
        <v>32</v>
      </c>
      <c r="F7" s="2" t="s">
        <v>18</v>
      </c>
      <c r="G7" s="2">
        <v>2</v>
      </c>
      <c r="H7" s="2">
        <v>55</v>
      </c>
      <c r="I7" s="2">
        <v>30</v>
      </c>
      <c r="J7" s="2" t="s">
        <v>14</v>
      </c>
    </row>
    <row r="8" spans="1:10" x14ac:dyDescent="0.35">
      <c r="A8" s="2">
        <v>1007</v>
      </c>
      <c r="B8" s="3">
        <v>46123</v>
      </c>
      <c r="C8" s="2" t="s">
        <v>33</v>
      </c>
      <c r="D8" s="2" t="s">
        <v>11</v>
      </c>
      <c r="E8" s="2" t="s">
        <v>34</v>
      </c>
      <c r="F8" s="2" t="s">
        <v>13</v>
      </c>
      <c r="G8" s="2">
        <v>10</v>
      </c>
      <c r="H8" s="2">
        <v>8</v>
      </c>
      <c r="I8" s="2">
        <v>3</v>
      </c>
      <c r="J8" s="2" t="s">
        <v>26</v>
      </c>
    </row>
    <row r="9" spans="1:10" x14ac:dyDescent="0.35">
      <c r="A9" s="2">
        <v>1008</v>
      </c>
      <c r="B9" s="3">
        <v>46124</v>
      </c>
      <c r="C9" s="2" t="s">
        <v>35</v>
      </c>
      <c r="D9" s="2" t="s">
        <v>21</v>
      </c>
      <c r="E9" s="2" t="s">
        <v>36</v>
      </c>
      <c r="F9" s="2" t="s">
        <v>23</v>
      </c>
      <c r="G9" s="2">
        <v>6</v>
      </c>
      <c r="H9" s="2">
        <v>15</v>
      </c>
      <c r="I9" s="2">
        <v>7</v>
      </c>
      <c r="J9" s="2" t="s">
        <v>14</v>
      </c>
    </row>
    <row r="10" spans="1:10" x14ac:dyDescent="0.35">
      <c r="A10" s="2">
        <v>1009</v>
      </c>
      <c r="B10" s="3">
        <v>46155</v>
      </c>
      <c r="C10" s="2" t="s">
        <v>19</v>
      </c>
      <c r="D10" s="2" t="s">
        <v>37</v>
      </c>
      <c r="E10" s="2" t="s">
        <v>38</v>
      </c>
      <c r="F10" s="2" t="s">
        <v>13</v>
      </c>
      <c r="G10" s="2">
        <v>2</v>
      </c>
      <c r="H10" s="2">
        <v>75</v>
      </c>
      <c r="I10" s="2">
        <v>45</v>
      </c>
      <c r="J10" s="2" t="s">
        <v>19</v>
      </c>
    </row>
    <row r="11" spans="1:10" x14ac:dyDescent="0.35">
      <c r="A11" s="2">
        <v>1010</v>
      </c>
      <c r="B11" s="3">
        <v>46187</v>
      </c>
      <c r="C11" s="2" t="s">
        <v>39</v>
      </c>
      <c r="D11" s="2" t="s">
        <v>11</v>
      </c>
      <c r="E11" s="2" t="s">
        <v>40</v>
      </c>
      <c r="F11" s="2" t="s">
        <v>30</v>
      </c>
      <c r="G11" s="2">
        <v>7</v>
      </c>
      <c r="H11" s="2">
        <v>10</v>
      </c>
      <c r="I11" s="2">
        <v>4</v>
      </c>
      <c r="J11" s="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96BCA-723E-4766-8408-8FC2A82BE110}">
  <dimension ref="A1:N26"/>
  <sheetViews>
    <sheetView zoomScale="120" zoomScaleNormal="120" workbookViewId="0">
      <selection activeCell="L6" sqref="L6"/>
    </sheetView>
  </sheetViews>
  <sheetFormatPr defaultRowHeight="14.5" x14ac:dyDescent="0.35"/>
  <cols>
    <col min="1" max="1" width="8.6328125" bestFit="1" customWidth="1"/>
    <col min="2" max="2" width="11" bestFit="1" customWidth="1"/>
    <col min="3" max="3" width="9.453125" bestFit="1" customWidth="1"/>
    <col min="4" max="4" width="9.6328125" bestFit="1" customWidth="1"/>
    <col min="5" max="5" width="15.81640625" bestFit="1" customWidth="1"/>
    <col min="6" max="6" width="10.81640625" bestFit="1" customWidth="1"/>
    <col min="7" max="7" width="5.36328125" bestFit="1" customWidth="1"/>
    <col min="8" max="8" width="9.6328125" bestFit="1" customWidth="1"/>
    <col min="9" max="9" width="13.26953125" bestFit="1" customWidth="1"/>
    <col min="10" max="10" width="11.54296875" bestFit="1" customWidth="1"/>
    <col min="11" max="11" width="8.08984375" bestFit="1" customWidth="1"/>
    <col min="12" max="12" width="9.54296875" bestFit="1" customWidth="1"/>
    <col min="13" max="13" width="6.26953125" bestFit="1" customWidth="1"/>
    <col min="14" max="14" width="8.36328125" customWidth="1"/>
  </cols>
  <sheetData>
    <row r="1" spans="1:14" x14ac:dyDescent="0.35">
      <c r="A1" s="31" t="s">
        <v>75</v>
      </c>
      <c r="B1" s="31"/>
      <c r="C1" s="31"/>
      <c r="D1" s="31"/>
      <c r="E1" s="31"/>
      <c r="F1" s="31"/>
      <c r="G1" s="31"/>
      <c r="H1" s="31"/>
      <c r="I1" s="31"/>
      <c r="J1" s="31"/>
    </row>
    <row r="2" spans="1:14" x14ac:dyDescent="0.35">
      <c r="A2" s="31"/>
      <c r="B2" s="31"/>
      <c r="C2" s="31"/>
      <c r="D2" s="31"/>
      <c r="E2" s="31"/>
      <c r="F2" s="31"/>
      <c r="G2" s="31"/>
      <c r="H2" s="31"/>
      <c r="I2" s="31"/>
      <c r="J2" s="31"/>
    </row>
    <row r="3" spans="1:14" x14ac:dyDescent="0.35">
      <c r="A3" s="1" t="s">
        <v>0</v>
      </c>
      <c r="B3" s="1" t="s">
        <v>1</v>
      </c>
      <c r="C3" s="1" t="s">
        <v>2</v>
      </c>
      <c r="D3" s="1" t="s">
        <v>3</v>
      </c>
      <c r="E3" s="1" t="s">
        <v>4</v>
      </c>
      <c r="F3" s="1" t="s">
        <v>5</v>
      </c>
      <c r="G3" s="1" t="s">
        <v>6</v>
      </c>
      <c r="H3" s="1" t="s">
        <v>7</v>
      </c>
      <c r="I3" s="1" t="s">
        <v>8</v>
      </c>
      <c r="J3" s="1" t="s">
        <v>9</v>
      </c>
    </row>
    <row r="4" spans="1:14" x14ac:dyDescent="0.35">
      <c r="A4" s="2">
        <v>1001</v>
      </c>
      <c r="B4" s="3">
        <v>46027</v>
      </c>
      <c r="C4" s="2" t="s">
        <v>10</v>
      </c>
      <c r="D4" s="2" t="s">
        <v>11</v>
      </c>
      <c r="E4" s="2" t="s">
        <v>12</v>
      </c>
      <c r="F4" s="2" t="s">
        <v>13</v>
      </c>
      <c r="G4" s="2">
        <v>3</v>
      </c>
      <c r="H4" s="2">
        <v>25</v>
      </c>
      <c r="I4" s="2">
        <v>15</v>
      </c>
      <c r="J4" s="2" t="s">
        <v>14</v>
      </c>
    </row>
    <row r="5" spans="1:14" x14ac:dyDescent="0.35">
      <c r="A5" s="2">
        <v>1002</v>
      </c>
      <c r="B5" s="3">
        <v>46028</v>
      </c>
      <c r="C5" s="2" t="s">
        <v>15</v>
      </c>
      <c r="D5" s="2" t="s">
        <v>16</v>
      </c>
      <c r="E5" s="2" t="s">
        <v>17</v>
      </c>
      <c r="F5" s="2" t="s">
        <v>18</v>
      </c>
      <c r="G5" s="2">
        <v>2</v>
      </c>
      <c r="H5" s="2">
        <v>40</v>
      </c>
      <c r="I5" s="2">
        <v>22</v>
      </c>
      <c r="J5" s="2" t="s">
        <v>19</v>
      </c>
    </row>
    <row r="6" spans="1:14" x14ac:dyDescent="0.35">
      <c r="A6" s="2">
        <v>1003</v>
      </c>
      <c r="B6" s="3">
        <v>46060</v>
      </c>
      <c r="C6" s="2" t="s">
        <v>20</v>
      </c>
      <c r="D6" s="2" t="s">
        <v>21</v>
      </c>
      <c r="E6" s="2" t="s">
        <v>22</v>
      </c>
      <c r="F6" s="2" t="s">
        <v>23</v>
      </c>
      <c r="G6" s="2">
        <v>1</v>
      </c>
      <c r="H6" s="2">
        <v>180</v>
      </c>
      <c r="I6" s="2">
        <v>120</v>
      </c>
      <c r="J6" s="2" t="s">
        <v>14</v>
      </c>
    </row>
    <row r="7" spans="1:14" x14ac:dyDescent="0.35">
      <c r="A7" s="2">
        <v>1004</v>
      </c>
      <c r="B7" s="3">
        <v>46061</v>
      </c>
      <c r="C7" s="2" t="s">
        <v>24</v>
      </c>
      <c r="D7" s="2" t="s">
        <v>11</v>
      </c>
      <c r="E7" s="2" t="s">
        <v>25</v>
      </c>
      <c r="F7" s="2" t="s">
        <v>13</v>
      </c>
      <c r="G7" s="2">
        <v>4</v>
      </c>
      <c r="H7" s="2">
        <v>35</v>
      </c>
      <c r="I7" s="2">
        <v>20</v>
      </c>
      <c r="J7" s="2" t="s">
        <v>26</v>
      </c>
    </row>
    <row r="8" spans="1:14" x14ac:dyDescent="0.35">
      <c r="A8" s="2">
        <v>1005</v>
      </c>
      <c r="B8" s="3">
        <v>46090</v>
      </c>
      <c r="C8" s="2" t="s">
        <v>27</v>
      </c>
      <c r="D8" s="2" t="s">
        <v>28</v>
      </c>
      <c r="E8" s="2" t="s">
        <v>29</v>
      </c>
      <c r="F8" s="2" t="s">
        <v>30</v>
      </c>
      <c r="G8" s="2">
        <v>5</v>
      </c>
      <c r="H8" s="2">
        <v>12</v>
      </c>
      <c r="I8" s="2">
        <v>5</v>
      </c>
      <c r="J8" s="2" t="s">
        <v>19</v>
      </c>
    </row>
    <row r="9" spans="1:14" x14ac:dyDescent="0.35">
      <c r="A9" s="2">
        <v>1006</v>
      </c>
      <c r="B9" s="3">
        <v>46091</v>
      </c>
      <c r="C9" s="2" t="s">
        <v>31</v>
      </c>
      <c r="D9" s="2" t="s">
        <v>16</v>
      </c>
      <c r="E9" s="2" t="s">
        <v>32</v>
      </c>
      <c r="F9" s="2" t="s">
        <v>18</v>
      </c>
      <c r="G9" s="2">
        <v>2</v>
      </c>
      <c r="H9" s="2">
        <v>55</v>
      </c>
      <c r="I9" s="2">
        <v>30</v>
      </c>
      <c r="J9" s="2" t="s">
        <v>14</v>
      </c>
    </row>
    <row r="10" spans="1:14" x14ac:dyDescent="0.35">
      <c r="A10" s="2">
        <v>1007</v>
      </c>
      <c r="B10" s="3">
        <v>46123</v>
      </c>
      <c r="C10" s="2" t="s">
        <v>33</v>
      </c>
      <c r="D10" s="2" t="s">
        <v>11</v>
      </c>
      <c r="E10" s="2" t="s">
        <v>34</v>
      </c>
      <c r="F10" s="2" t="s">
        <v>13</v>
      </c>
      <c r="G10" s="2">
        <v>10</v>
      </c>
      <c r="H10" s="2">
        <v>8</v>
      </c>
      <c r="I10" s="2">
        <v>3</v>
      </c>
      <c r="J10" s="2" t="s">
        <v>26</v>
      </c>
    </row>
    <row r="11" spans="1:14" ht="11" customHeight="1" x14ac:dyDescent="0.35">
      <c r="A11" s="2">
        <v>1008</v>
      </c>
      <c r="B11" s="3">
        <v>46124</v>
      </c>
      <c r="C11" s="2" t="s">
        <v>35</v>
      </c>
      <c r="D11" s="2" t="s">
        <v>21</v>
      </c>
      <c r="E11" s="2" t="s">
        <v>36</v>
      </c>
      <c r="F11" s="2" t="s">
        <v>23</v>
      </c>
      <c r="G11" s="2">
        <v>6</v>
      </c>
      <c r="H11" s="2">
        <v>15</v>
      </c>
      <c r="I11" s="2">
        <v>7</v>
      </c>
      <c r="J11" s="2" t="s">
        <v>14</v>
      </c>
    </row>
    <row r="12" spans="1:14" x14ac:dyDescent="0.35">
      <c r="A12" s="2">
        <v>1009</v>
      </c>
      <c r="B12" s="3">
        <v>46155</v>
      </c>
      <c r="C12" s="2" t="s">
        <v>19</v>
      </c>
      <c r="D12" s="2" t="s">
        <v>37</v>
      </c>
      <c r="E12" s="2" t="s">
        <v>38</v>
      </c>
      <c r="F12" s="2" t="s">
        <v>13</v>
      </c>
      <c r="G12" s="2">
        <v>2</v>
      </c>
      <c r="H12" s="2">
        <v>75</v>
      </c>
      <c r="I12" s="2">
        <v>45</v>
      </c>
      <c r="J12" s="2" t="s">
        <v>19</v>
      </c>
    </row>
    <row r="13" spans="1:14" ht="22" customHeight="1" x14ac:dyDescent="0.35">
      <c r="A13" s="2">
        <v>1010</v>
      </c>
      <c r="B13" s="3">
        <v>46187</v>
      </c>
      <c r="C13" s="2" t="s">
        <v>39</v>
      </c>
      <c r="D13" s="2" t="s">
        <v>11</v>
      </c>
      <c r="E13" s="2" t="s">
        <v>40</v>
      </c>
      <c r="F13" s="2" t="s">
        <v>30</v>
      </c>
      <c r="G13" s="2">
        <v>7</v>
      </c>
      <c r="H13" s="2">
        <v>10</v>
      </c>
      <c r="I13" s="2">
        <v>4</v>
      </c>
      <c r="J13" s="2" t="s">
        <v>26</v>
      </c>
    </row>
    <row r="14" spans="1:14" x14ac:dyDescent="0.35">
      <c r="A14" s="29" t="s">
        <v>74</v>
      </c>
      <c r="B14" s="29"/>
      <c r="C14" s="29"/>
      <c r="D14" s="29"/>
      <c r="E14" s="29"/>
      <c r="F14" s="29"/>
      <c r="G14" s="29"/>
      <c r="H14" s="29"/>
      <c r="I14" s="29"/>
      <c r="J14" s="29"/>
      <c r="K14" s="29"/>
      <c r="L14" s="29"/>
      <c r="M14" s="29"/>
      <c r="N14" s="29"/>
    </row>
    <row r="15" spans="1:14" x14ac:dyDescent="0.35">
      <c r="A15" s="30"/>
      <c r="B15" s="30"/>
      <c r="C15" s="30"/>
      <c r="D15" s="30"/>
      <c r="E15" s="30"/>
      <c r="F15" s="30"/>
      <c r="G15" s="30"/>
      <c r="H15" s="30"/>
      <c r="I15" s="30"/>
      <c r="J15" s="30"/>
      <c r="K15" s="30"/>
      <c r="L15" s="30"/>
      <c r="M15" s="30"/>
      <c r="N15" s="30"/>
    </row>
    <row r="16" spans="1:14" x14ac:dyDescent="0.35">
      <c r="A16" s="4" t="s">
        <v>0</v>
      </c>
      <c r="B16" s="4" t="s">
        <v>1</v>
      </c>
      <c r="C16" s="4" t="s">
        <v>2</v>
      </c>
      <c r="D16" s="4" t="s">
        <v>3</v>
      </c>
      <c r="E16" s="4" t="s">
        <v>4</v>
      </c>
      <c r="F16" s="4" t="s">
        <v>5</v>
      </c>
      <c r="G16" s="4" t="s">
        <v>6</v>
      </c>
      <c r="H16" s="4" t="s">
        <v>7</v>
      </c>
      <c r="I16" s="4" t="s">
        <v>8</v>
      </c>
      <c r="J16" s="4" t="s">
        <v>9</v>
      </c>
      <c r="K16" s="7" t="s">
        <v>41</v>
      </c>
      <c r="L16" s="9" t="s">
        <v>42</v>
      </c>
      <c r="M16" s="9" t="s">
        <v>43</v>
      </c>
      <c r="N16" s="9" t="s">
        <v>44</v>
      </c>
    </row>
    <row r="17" spans="1:14" x14ac:dyDescent="0.35">
      <c r="A17" s="5">
        <v>1001</v>
      </c>
      <c r="B17" s="6">
        <v>46027</v>
      </c>
      <c r="C17" s="5" t="s">
        <v>10</v>
      </c>
      <c r="D17" s="5" t="s">
        <v>11</v>
      </c>
      <c r="E17" s="5" t="s">
        <v>12</v>
      </c>
      <c r="F17" s="5" t="s">
        <v>13</v>
      </c>
      <c r="G17" s="5">
        <v>3</v>
      </c>
      <c r="H17" s="10">
        <v>25</v>
      </c>
      <c r="I17" s="10">
        <v>15</v>
      </c>
      <c r="J17" s="5" t="s">
        <v>14</v>
      </c>
      <c r="K17" s="11">
        <v>75</v>
      </c>
      <c r="L17" s="11">
        <v>45</v>
      </c>
      <c r="M17" s="11">
        <v>30</v>
      </c>
      <c r="N17" s="8" t="s">
        <v>45</v>
      </c>
    </row>
    <row r="18" spans="1:14" x14ac:dyDescent="0.35">
      <c r="A18" s="5">
        <v>1002</v>
      </c>
      <c r="B18" s="6">
        <v>46028</v>
      </c>
      <c r="C18" s="5" t="s">
        <v>15</v>
      </c>
      <c r="D18" s="5" t="s">
        <v>16</v>
      </c>
      <c r="E18" s="5" t="s">
        <v>17</v>
      </c>
      <c r="F18" s="5" t="s">
        <v>18</v>
      </c>
      <c r="G18" s="5">
        <v>2</v>
      </c>
      <c r="H18" s="10">
        <v>40</v>
      </c>
      <c r="I18" s="10">
        <v>22</v>
      </c>
      <c r="J18" s="5" t="s">
        <v>19</v>
      </c>
      <c r="K18" s="11">
        <v>80</v>
      </c>
      <c r="L18" s="11">
        <v>44</v>
      </c>
      <c r="M18" s="11">
        <v>36</v>
      </c>
      <c r="N18" s="8" t="s">
        <v>45</v>
      </c>
    </row>
    <row r="19" spans="1:14" x14ac:dyDescent="0.35">
      <c r="A19" s="5">
        <v>1003</v>
      </c>
      <c r="B19" s="6">
        <v>46060</v>
      </c>
      <c r="C19" s="5" t="s">
        <v>20</v>
      </c>
      <c r="D19" s="5" t="s">
        <v>21</v>
      </c>
      <c r="E19" s="5" t="s">
        <v>22</v>
      </c>
      <c r="F19" s="5" t="s">
        <v>23</v>
      </c>
      <c r="G19" s="5">
        <v>1</v>
      </c>
      <c r="H19" s="10">
        <v>180</v>
      </c>
      <c r="I19" s="10">
        <v>120</v>
      </c>
      <c r="J19" s="5" t="s">
        <v>14</v>
      </c>
      <c r="K19" s="11">
        <v>180</v>
      </c>
      <c r="L19" s="11">
        <v>120</v>
      </c>
      <c r="M19" s="11">
        <v>60</v>
      </c>
      <c r="N19" s="8" t="s">
        <v>50</v>
      </c>
    </row>
    <row r="20" spans="1:14" x14ac:dyDescent="0.35">
      <c r="A20" s="5">
        <v>1004</v>
      </c>
      <c r="B20" s="6">
        <v>46061</v>
      </c>
      <c r="C20" s="5" t="s">
        <v>24</v>
      </c>
      <c r="D20" s="5" t="s">
        <v>11</v>
      </c>
      <c r="E20" s="5" t="s">
        <v>25</v>
      </c>
      <c r="F20" s="5" t="s">
        <v>13</v>
      </c>
      <c r="G20" s="5">
        <v>4</v>
      </c>
      <c r="H20" s="10">
        <v>35</v>
      </c>
      <c r="I20" s="10">
        <v>20</v>
      </c>
      <c r="J20" s="5" t="s">
        <v>26</v>
      </c>
      <c r="K20" s="11">
        <v>140</v>
      </c>
      <c r="L20" s="11">
        <v>80</v>
      </c>
      <c r="M20" s="11">
        <v>60</v>
      </c>
      <c r="N20" s="8" t="s">
        <v>50</v>
      </c>
    </row>
    <row r="21" spans="1:14" x14ac:dyDescent="0.35">
      <c r="A21" s="5">
        <v>1005</v>
      </c>
      <c r="B21" s="6">
        <v>46090</v>
      </c>
      <c r="C21" s="5" t="s">
        <v>27</v>
      </c>
      <c r="D21" s="5" t="s">
        <v>28</v>
      </c>
      <c r="E21" s="5" t="s">
        <v>29</v>
      </c>
      <c r="F21" s="5" t="s">
        <v>30</v>
      </c>
      <c r="G21" s="5">
        <v>5</v>
      </c>
      <c r="H21" s="10">
        <v>12</v>
      </c>
      <c r="I21" s="10">
        <v>5</v>
      </c>
      <c r="J21" s="5" t="s">
        <v>19</v>
      </c>
      <c r="K21" s="11">
        <v>60</v>
      </c>
      <c r="L21" s="11">
        <v>25</v>
      </c>
      <c r="M21" s="11">
        <v>35</v>
      </c>
      <c r="N21" s="8" t="s">
        <v>51</v>
      </c>
    </row>
    <row r="22" spans="1:14" x14ac:dyDescent="0.35">
      <c r="A22" s="5">
        <v>1006</v>
      </c>
      <c r="B22" s="6">
        <v>46091</v>
      </c>
      <c r="C22" s="5" t="s">
        <v>31</v>
      </c>
      <c r="D22" s="5" t="s">
        <v>16</v>
      </c>
      <c r="E22" s="5" t="s">
        <v>32</v>
      </c>
      <c r="F22" s="5" t="s">
        <v>18</v>
      </c>
      <c r="G22" s="5">
        <v>2</v>
      </c>
      <c r="H22" s="10">
        <v>55</v>
      </c>
      <c r="I22" s="10">
        <v>30</v>
      </c>
      <c r="J22" s="5" t="s">
        <v>14</v>
      </c>
      <c r="K22" s="11">
        <v>110</v>
      </c>
      <c r="L22" s="11">
        <v>60</v>
      </c>
      <c r="M22" s="11">
        <v>50</v>
      </c>
      <c r="N22" s="8" t="s">
        <v>51</v>
      </c>
    </row>
    <row r="23" spans="1:14" x14ac:dyDescent="0.35">
      <c r="A23" s="5">
        <v>1007</v>
      </c>
      <c r="B23" s="6">
        <v>46123</v>
      </c>
      <c r="C23" s="5" t="s">
        <v>33</v>
      </c>
      <c r="D23" s="5" t="s">
        <v>11</v>
      </c>
      <c r="E23" s="5" t="s">
        <v>34</v>
      </c>
      <c r="F23" s="5" t="s">
        <v>13</v>
      </c>
      <c r="G23" s="5">
        <v>10</v>
      </c>
      <c r="H23" s="10">
        <v>8</v>
      </c>
      <c r="I23" s="10">
        <v>3</v>
      </c>
      <c r="J23" s="5" t="s">
        <v>26</v>
      </c>
      <c r="K23" s="11">
        <v>80</v>
      </c>
      <c r="L23" s="11">
        <v>30</v>
      </c>
      <c r="M23" s="11">
        <v>50</v>
      </c>
      <c r="N23" s="8" t="s">
        <v>52</v>
      </c>
    </row>
    <row r="24" spans="1:14" x14ac:dyDescent="0.35">
      <c r="A24" s="5">
        <v>1008</v>
      </c>
      <c r="B24" s="6">
        <v>46124</v>
      </c>
      <c r="C24" s="5" t="s">
        <v>35</v>
      </c>
      <c r="D24" s="5" t="s">
        <v>21</v>
      </c>
      <c r="E24" s="5" t="s">
        <v>36</v>
      </c>
      <c r="F24" s="5" t="s">
        <v>23</v>
      </c>
      <c r="G24" s="5">
        <v>6</v>
      </c>
      <c r="H24" s="10">
        <v>15</v>
      </c>
      <c r="I24" s="10">
        <v>7</v>
      </c>
      <c r="J24" s="5" t="s">
        <v>14</v>
      </c>
      <c r="K24" s="11">
        <v>90</v>
      </c>
      <c r="L24" s="11">
        <v>42</v>
      </c>
      <c r="M24" s="11">
        <v>48</v>
      </c>
      <c r="N24" s="8" t="s">
        <v>52</v>
      </c>
    </row>
    <row r="25" spans="1:14" x14ac:dyDescent="0.35">
      <c r="A25" s="5">
        <v>1009</v>
      </c>
      <c r="B25" s="6">
        <v>46155</v>
      </c>
      <c r="C25" s="5" t="s">
        <v>19</v>
      </c>
      <c r="D25" s="5" t="s">
        <v>37</v>
      </c>
      <c r="E25" s="5" t="s">
        <v>38</v>
      </c>
      <c r="F25" s="5" t="s">
        <v>13</v>
      </c>
      <c r="G25" s="5">
        <v>2</v>
      </c>
      <c r="H25" s="10">
        <v>75</v>
      </c>
      <c r="I25" s="10">
        <v>45</v>
      </c>
      <c r="J25" s="5" t="s">
        <v>19</v>
      </c>
      <c r="K25" s="11">
        <v>150</v>
      </c>
      <c r="L25" s="11">
        <v>90</v>
      </c>
      <c r="M25" s="11">
        <v>60</v>
      </c>
      <c r="N25" s="8" t="s">
        <v>53</v>
      </c>
    </row>
    <row r="26" spans="1:14" x14ac:dyDescent="0.35">
      <c r="A26" s="5">
        <v>1010</v>
      </c>
      <c r="B26" s="6">
        <v>46187</v>
      </c>
      <c r="C26" s="5" t="s">
        <v>39</v>
      </c>
      <c r="D26" s="5" t="s">
        <v>11</v>
      </c>
      <c r="E26" s="5" t="s">
        <v>40</v>
      </c>
      <c r="F26" s="5" t="s">
        <v>30</v>
      </c>
      <c r="G26" s="5">
        <v>7</v>
      </c>
      <c r="H26" s="10">
        <v>10</v>
      </c>
      <c r="I26" s="10">
        <v>4</v>
      </c>
      <c r="J26" s="5" t="s">
        <v>26</v>
      </c>
      <c r="K26" s="11">
        <v>70</v>
      </c>
      <c r="L26" s="11">
        <v>28</v>
      </c>
      <c r="M26" s="11">
        <v>42</v>
      </c>
      <c r="N26" s="8" t="s">
        <v>54</v>
      </c>
    </row>
  </sheetData>
  <mergeCells count="2">
    <mergeCell ref="A14:N15"/>
    <mergeCell ref="A1: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DDC8-ED5E-4C80-B7BB-A0CF23794280}">
  <dimension ref="A3:K14"/>
  <sheetViews>
    <sheetView zoomScale="140" zoomScaleNormal="140" workbookViewId="0">
      <selection activeCell="F12" sqref="F12"/>
    </sheetView>
  </sheetViews>
  <sheetFormatPr defaultRowHeight="14.5" x14ac:dyDescent="0.35"/>
  <cols>
    <col min="1" max="2" width="12.54296875" bestFit="1" customWidth="1"/>
    <col min="3" max="3" width="1.6328125" customWidth="1"/>
    <col min="4" max="4" width="10.7265625" bestFit="1" customWidth="1"/>
    <col min="5" max="5" width="14.36328125" bestFit="1" customWidth="1"/>
    <col min="6" max="6" width="1.7265625" customWidth="1"/>
    <col min="7" max="7" width="11.08984375" bestFit="1" customWidth="1"/>
    <col min="8" max="8" width="14.36328125" bestFit="1" customWidth="1"/>
    <col min="9" max="9" width="1.08984375" customWidth="1"/>
    <col min="10" max="10" width="12.1796875" bestFit="1" customWidth="1"/>
    <col min="11" max="11" width="12.54296875" bestFit="1" customWidth="1"/>
    <col min="12" max="12" width="1.81640625" customWidth="1"/>
    <col min="13" max="13" width="12.453125" bestFit="1" customWidth="1"/>
    <col min="14" max="14" width="14.36328125" bestFit="1" customWidth="1"/>
  </cols>
  <sheetData>
    <row r="3" spans="1:11" x14ac:dyDescent="0.35">
      <c r="A3" s="12" t="s">
        <v>3</v>
      </c>
      <c r="B3" t="s">
        <v>48</v>
      </c>
      <c r="D3" s="12" t="s">
        <v>5</v>
      </c>
      <c r="E3" t="s">
        <v>47</v>
      </c>
      <c r="G3" s="12" t="s">
        <v>9</v>
      </c>
      <c r="H3" t="s">
        <v>47</v>
      </c>
      <c r="J3" s="12" t="s">
        <v>58</v>
      </c>
      <c r="K3" t="s">
        <v>56</v>
      </c>
    </row>
    <row r="4" spans="1:11" x14ac:dyDescent="0.35">
      <c r="A4" s="13" t="s">
        <v>11</v>
      </c>
      <c r="B4" s="14">
        <v>365</v>
      </c>
      <c r="D4" s="13" t="s">
        <v>30</v>
      </c>
      <c r="E4" s="14">
        <v>130</v>
      </c>
      <c r="G4" s="13" t="s">
        <v>14</v>
      </c>
      <c r="H4" s="14">
        <v>455</v>
      </c>
      <c r="J4" s="13" t="s">
        <v>20</v>
      </c>
      <c r="K4" s="14">
        <v>180</v>
      </c>
    </row>
    <row r="5" spans="1:11" x14ac:dyDescent="0.35">
      <c r="A5" s="13" t="s">
        <v>21</v>
      </c>
      <c r="B5" s="14">
        <v>270</v>
      </c>
      <c r="D5" s="13" t="s">
        <v>13</v>
      </c>
      <c r="E5" s="14">
        <v>445</v>
      </c>
      <c r="G5" s="13" t="s">
        <v>19</v>
      </c>
      <c r="H5" s="14">
        <v>290</v>
      </c>
      <c r="J5" s="13" t="s">
        <v>19</v>
      </c>
      <c r="K5" s="14">
        <v>150</v>
      </c>
    </row>
    <row r="6" spans="1:11" x14ac:dyDescent="0.35">
      <c r="A6" s="13" t="s">
        <v>16</v>
      </c>
      <c r="B6" s="14">
        <v>190</v>
      </c>
      <c r="D6" s="13" t="s">
        <v>18</v>
      </c>
      <c r="E6" s="14">
        <v>190</v>
      </c>
      <c r="G6" s="13" t="s">
        <v>26</v>
      </c>
      <c r="H6" s="14">
        <v>290</v>
      </c>
      <c r="J6" s="13" t="s">
        <v>24</v>
      </c>
      <c r="K6" s="14">
        <v>140</v>
      </c>
    </row>
    <row r="7" spans="1:11" x14ac:dyDescent="0.35">
      <c r="A7" s="13" t="s">
        <v>37</v>
      </c>
      <c r="B7" s="14">
        <v>150</v>
      </c>
      <c r="D7" s="13" t="s">
        <v>23</v>
      </c>
      <c r="E7" s="14">
        <v>270</v>
      </c>
      <c r="G7" s="13" t="s">
        <v>46</v>
      </c>
      <c r="H7" s="14">
        <v>1035</v>
      </c>
      <c r="J7" s="13" t="s">
        <v>31</v>
      </c>
      <c r="K7" s="14">
        <v>110</v>
      </c>
    </row>
    <row r="8" spans="1:11" x14ac:dyDescent="0.35">
      <c r="A8" s="13" t="s">
        <v>28</v>
      </c>
      <c r="B8" s="14">
        <v>60</v>
      </c>
      <c r="D8" s="13" t="s">
        <v>46</v>
      </c>
      <c r="E8" s="14">
        <v>1035</v>
      </c>
      <c r="J8" s="13" t="s">
        <v>35</v>
      </c>
      <c r="K8" s="14">
        <v>90</v>
      </c>
    </row>
    <row r="9" spans="1:11" x14ac:dyDescent="0.35">
      <c r="A9" s="13" t="s">
        <v>46</v>
      </c>
      <c r="B9" s="14">
        <v>1035</v>
      </c>
      <c r="J9" s="13" t="s">
        <v>15</v>
      </c>
      <c r="K9" s="14">
        <v>80</v>
      </c>
    </row>
    <row r="10" spans="1:11" x14ac:dyDescent="0.35">
      <c r="J10" s="13" t="s">
        <v>33</v>
      </c>
      <c r="K10" s="14">
        <v>80</v>
      </c>
    </row>
    <row r="11" spans="1:11" x14ac:dyDescent="0.35">
      <c r="A11" s="12" t="s">
        <v>55</v>
      </c>
      <c r="B11" t="s">
        <v>56</v>
      </c>
      <c r="J11" s="13" t="s">
        <v>10</v>
      </c>
      <c r="K11" s="14">
        <v>75</v>
      </c>
    </row>
    <row r="12" spans="1:11" x14ac:dyDescent="0.35">
      <c r="A12" s="13" t="s">
        <v>45</v>
      </c>
      <c r="B12" s="14">
        <v>1035</v>
      </c>
      <c r="J12" s="13" t="s">
        <v>39</v>
      </c>
      <c r="K12" s="14">
        <v>70</v>
      </c>
    </row>
    <row r="13" spans="1:11" x14ac:dyDescent="0.35">
      <c r="A13" s="13" t="s">
        <v>46</v>
      </c>
      <c r="B13" s="14">
        <v>1035</v>
      </c>
      <c r="J13" s="13" t="s">
        <v>27</v>
      </c>
      <c r="K13" s="14">
        <v>60</v>
      </c>
    </row>
    <row r="14" spans="1:11" x14ac:dyDescent="0.35">
      <c r="J14" s="13" t="s">
        <v>46</v>
      </c>
      <c r="K14" s="14">
        <v>1035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E4C02-5717-434F-989B-9684EE6CB989}">
  <dimension ref="A1:M27"/>
  <sheetViews>
    <sheetView showGridLines="0" showRowColHeaders="0" zoomScale="110" zoomScaleNormal="110" workbookViewId="0">
      <selection activeCell="N26" sqref="N26"/>
    </sheetView>
  </sheetViews>
  <sheetFormatPr defaultRowHeight="14.5" x14ac:dyDescent="0.35"/>
  <cols>
    <col min="1" max="1" width="10.7265625" bestFit="1" customWidth="1"/>
    <col min="2" max="2" width="9.81640625" bestFit="1" customWidth="1"/>
    <col min="3" max="3" width="10" bestFit="1" customWidth="1"/>
    <col min="4" max="4" width="15.81640625" bestFit="1" customWidth="1"/>
    <col min="5" max="5" width="12.6328125" bestFit="1" customWidth="1"/>
    <col min="6" max="6" width="9.90625" bestFit="1" customWidth="1"/>
  </cols>
  <sheetData>
    <row r="1" spans="1:13" ht="46.5" customHeight="1" x14ac:dyDescent="0.35">
      <c r="A1" s="20" t="s">
        <v>59</v>
      </c>
      <c r="B1" s="21"/>
      <c r="C1" s="21"/>
      <c r="D1" s="21"/>
      <c r="E1" s="21"/>
      <c r="F1" s="21"/>
      <c r="G1" s="21"/>
      <c r="H1" s="21"/>
      <c r="I1" s="21"/>
      <c r="J1" s="21"/>
      <c r="K1" s="28"/>
      <c r="L1" s="28"/>
      <c r="M1" s="28"/>
    </row>
    <row r="2" spans="1:13" x14ac:dyDescent="0.35">
      <c r="A2" s="22" t="s">
        <v>60</v>
      </c>
      <c r="B2" s="22"/>
      <c r="C2" s="15">
        <f>SUM(CleanedData!K17:K26)</f>
        <v>1035</v>
      </c>
      <c r="D2" s="12" t="s">
        <v>3</v>
      </c>
      <c r="E2" t="s">
        <v>48</v>
      </c>
    </row>
    <row r="3" spans="1:13" x14ac:dyDescent="0.35">
      <c r="A3" s="23" t="s">
        <v>61</v>
      </c>
      <c r="B3" s="23"/>
      <c r="C3" s="16">
        <f>SUM(CleanedData!M17:M26)</f>
        <v>471</v>
      </c>
      <c r="D3" s="13" t="s">
        <v>11</v>
      </c>
      <c r="E3" s="14">
        <v>365</v>
      </c>
    </row>
    <row r="4" spans="1:13" x14ac:dyDescent="0.35">
      <c r="A4" s="24" t="s">
        <v>62</v>
      </c>
      <c r="B4" s="24"/>
      <c r="C4" s="17">
        <f>COUNT(CleanedData!A17:A26)</f>
        <v>10</v>
      </c>
      <c r="D4" s="13" t="s">
        <v>21</v>
      </c>
      <c r="E4" s="14">
        <v>270</v>
      </c>
    </row>
    <row r="5" spans="1:13" x14ac:dyDescent="0.35">
      <c r="A5" s="25" t="s">
        <v>63</v>
      </c>
      <c r="B5" s="25"/>
      <c r="C5" s="18" t="s">
        <v>13</v>
      </c>
      <c r="D5" s="13" t="s">
        <v>16</v>
      </c>
      <c r="E5" s="14">
        <v>190</v>
      </c>
    </row>
    <row r="6" spans="1:13" x14ac:dyDescent="0.35">
      <c r="D6" s="13" t="s">
        <v>37</v>
      </c>
      <c r="E6" s="14">
        <v>150</v>
      </c>
    </row>
    <row r="7" spans="1:13" x14ac:dyDescent="0.35">
      <c r="D7" s="13" t="s">
        <v>28</v>
      </c>
      <c r="E7" s="14">
        <v>60</v>
      </c>
    </row>
    <row r="8" spans="1:13" x14ac:dyDescent="0.35">
      <c r="D8" s="13" t="s">
        <v>46</v>
      </c>
      <c r="E8" s="14">
        <v>1035</v>
      </c>
    </row>
    <row r="10" spans="1:13" x14ac:dyDescent="0.35">
      <c r="D10" s="12" t="s">
        <v>5</v>
      </c>
      <c r="E10" t="s">
        <v>49</v>
      </c>
    </row>
    <row r="11" spans="1:13" x14ac:dyDescent="0.35">
      <c r="D11" s="13" t="s">
        <v>13</v>
      </c>
      <c r="E11" s="14">
        <v>200</v>
      </c>
    </row>
    <row r="12" spans="1:13" x14ac:dyDescent="0.35">
      <c r="D12" s="13" t="s">
        <v>23</v>
      </c>
      <c r="E12" s="14">
        <v>108</v>
      </c>
    </row>
    <row r="13" spans="1:13" x14ac:dyDescent="0.35">
      <c r="D13" s="13" t="s">
        <v>18</v>
      </c>
      <c r="E13" s="14">
        <v>86</v>
      </c>
    </row>
    <row r="14" spans="1:13" x14ac:dyDescent="0.35">
      <c r="D14" s="13" t="s">
        <v>30</v>
      </c>
      <c r="E14" s="14">
        <v>77</v>
      </c>
    </row>
    <row r="15" spans="1:13" x14ac:dyDescent="0.35">
      <c r="D15" s="13" t="s">
        <v>46</v>
      </c>
      <c r="E15" s="14">
        <v>471</v>
      </c>
    </row>
    <row r="17" spans="4:5" x14ac:dyDescent="0.35">
      <c r="D17" s="12" t="s">
        <v>64</v>
      </c>
      <c r="E17" t="s">
        <v>56</v>
      </c>
    </row>
    <row r="18" spans="4:5" x14ac:dyDescent="0.35">
      <c r="D18" s="13" t="s">
        <v>22</v>
      </c>
      <c r="E18" s="14">
        <v>180</v>
      </c>
    </row>
    <row r="19" spans="4:5" x14ac:dyDescent="0.35">
      <c r="D19" s="13" t="s">
        <v>38</v>
      </c>
      <c r="E19" s="14">
        <v>150</v>
      </c>
    </row>
    <row r="20" spans="4:5" x14ac:dyDescent="0.35">
      <c r="D20" s="13" t="s">
        <v>25</v>
      </c>
      <c r="E20" s="14">
        <v>140</v>
      </c>
    </row>
    <row r="21" spans="4:5" x14ac:dyDescent="0.35">
      <c r="D21" s="13" t="s">
        <v>46</v>
      </c>
      <c r="E21" s="14">
        <v>470</v>
      </c>
    </row>
    <row r="23" spans="4:5" x14ac:dyDescent="0.35">
      <c r="D23" s="12" t="s">
        <v>9</v>
      </c>
      <c r="E23" t="s">
        <v>57</v>
      </c>
    </row>
    <row r="24" spans="4:5" x14ac:dyDescent="0.35">
      <c r="D24" s="13" t="s">
        <v>14</v>
      </c>
      <c r="E24" s="14">
        <v>455</v>
      </c>
    </row>
    <row r="25" spans="4:5" x14ac:dyDescent="0.35">
      <c r="D25" s="13" t="s">
        <v>26</v>
      </c>
      <c r="E25" s="14">
        <v>290</v>
      </c>
    </row>
    <row r="26" spans="4:5" x14ac:dyDescent="0.35">
      <c r="D26" s="13" t="s">
        <v>19</v>
      </c>
      <c r="E26" s="14">
        <v>290</v>
      </c>
    </row>
    <row r="27" spans="4:5" x14ac:dyDescent="0.35">
      <c r="D27" s="13" t="s">
        <v>46</v>
      </c>
      <c r="E27" s="14">
        <v>1035</v>
      </c>
    </row>
  </sheetData>
  <mergeCells count="5">
    <mergeCell ref="A1:J1"/>
    <mergeCell ref="A2:B2"/>
    <mergeCell ref="A3:B3"/>
    <mergeCell ref="A4:B4"/>
    <mergeCell ref="A5:B5"/>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727F-4538-401E-9A7F-994CF0208001}">
  <dimension ref="A1:B5"/>
  <sheetViews>
    <sheetView zoomScale="240" zoomScaleNormal="240" workbookViewId="0">
      <selection activeCell="B7" sqref="B7"/>
    </sheetView>
  </sheetViews>
  <sheetFormatPr defaultRowHeight="14.5" x14ac:dyDescent="0.35"/>
  <cols>
    <col min="1" max="1" width="8.453125" style="19" bestFit="1" customWidth="1"/>
    <col min="2" max="2" width="57.1796875" bestFit="1" customWidth="1"/>
  </cols>
  <sheetData>
    <row r="1" spans="1:2" ht="30.5" customHeight="1" x14ac:dyDescent="0.35">
      <c r="A1" s="26" t="s">
        <v>73</v>
      </c>
      <c r="B1" s="27"/>
    </row>
    <row r="2" spans="1:2" x14ac:dyDescent="0.35">
      <c r="A2" s="19" t="s">
        <v>65</v>
      </c>
      <c r="B2" t="s">
        <v>68</v>
      </c>
    </row>
    <row r="3" spans="1:2" x14ac:dyDescent="0.35">
      <c r="A3" s="19" t="s">
        <v>66</v>
      </c>
      <c r="B3" t="s">
        <v>67</v>
      </c>
    </row>
    <row r="4" spans="1:2" x14ac:dyDescent="0.35">
      <c r="A4" s="19" t="s">
        <v>69</v>
      </c>
      <c r="B4" t="s">
        <v>70</v>
      </c>
    </row>
    <row r="5" spans="1:2" x14ac:dyDescent="0.35">
      <c r="A5" s="19" t="s">
        <v>71</v>
      </c>
      <c r="B5" t="s">
        <v>72</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RawData</vt:lpstr>
      <vt:lpstr>CleanedData</vt:lpstr>
      <vt:lpstr>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irtizaabbas05@gmail.com</dc:creator>
  <cp:lastModifiedBy>irtizaabbas05@gmail.com</cp:lastModifiedBy>
  <dcterms:created xsi:type="dcterms:W3CDTF">2026-05-21T23:33:05Z</dcterms:created>
  <dcterms:modified xsi:type="dcterms:W3CDTF">2026-05-22T22:08:48Z</dcterms:modified>
</cp:coreProperties>
</file>